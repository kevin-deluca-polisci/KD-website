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 · dates to verify" sheetId="2" state="visible" r:id="rId4"/>
    <sheet name="B · redistricting plans" sheetId="3" state="visible" r:id="rId5"/>
    <sheet name="C · redistricting events" sheetId="4" state="visible" r:id="rId6"/>
    <sheet name="D · confirm my drops" sheetId="5" state="visible" r:id="rId7"/>
    <sheet name="E · decisions and open items" sheetId="6" state="visible" r:id="rId8"/>
  </sheets>
  <definedNames>
    <definedName function="false" hidden="true" localSheetId="1" name="_xlnm._FilterDatabase" vbProcedure="false">'A · dates to verify'!$A$2:$L$13</definedName>
    <definedName function="false" hidden="true" localSheetId="2" name="_xlnm._FilterDatabase" vbProcedure="false">'B · redistricting plans'!$A$2:$L$23</definedName>
    <definedName function="false" hidden="true" localSheetId="3" name="_xlnm._FilterDatabase" vbProcedure="false">'C · redistricting events'!$A$2:$O$73</definedName>
    <definedName function="false" hidden="true" localSheetId="4" name="_xlnm._FilterDatabase" vbProcedure="false">'D · confirm my drops'!$A$2:$H$40</definedName>
    <definedName function="false" hidden="true" localSheetId="5" name="_xlnm._FilterDatabase" vbProcedure="false">'E · decisions and open items'!$A$2:$F$12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<sst xmlns="http://schemas.openxmlformats.org/spreadsheetml/2006/main" count="1311" uniqueCount="573">
  <si>
    <t xml:space="preserve">Conditions worklist</t>
  </si>
  <si>
    <t xml:space="preserve">What this is</t>
  </si>
  <si>
    <t xml:space="preserve">Everything the 2026 archive still needs from a human, in one place. Generated from 579 days of Wikipedia revisions, audited, and sorted so the bulk work is first and the judgement calls are small.</t>
  </si>
  <si>
    <t xml:space="preserve">How to use it</t>
  </si>
  <si>
    <t xml:space="preserve">YELLOW cells are yours to fill in. GREY cells are context — what we extracted and what the page actually said. Each sheet has one italic example row at the top; delete it before returning the file.</t>
  </si>
  <si>
    <t xml:space="preserve">The one rule</t>
  </si>
  <si>
    <t xml:space="preserve">known_by = when it became public. event_date = when it happened. They are different, and models read known_by, because nobody could act on a fact before it was published. Never copy one into the other.</t>
  </si>
  <si>
    <t xml:space="preserve">A · dates to verify</t>
  </si>
  <si>
    <t xml:space="preserve">YOUR ANSWERS, carried over, with my review in the last column. Six are clean. Four need one more touch.</t>
  </si>
  <si>
    <t xml:space="preserve">B · redistricting plans</t>
  </si>
  <si>
    <t xml:space="preserve">PRE-FILLED. 20 rows now — every state that redrew or tried — with a column that settles which of them actually changed a district, from your own Cook capture.</t>
  </si>
  <si>
    <t xml:space="preserve">C · redistricting events</t>
  </si>
  <si>
    <t xml:space="preserve">PRE-FILLED. 70 dated rows in one timeline: 28 from our archive's status table and 41 from outside it, covering both waves end to end.</t>
  </si>
  <si>
    <t xml:space="preserve">D · confirm my drops</t>
  </si>
  <si>
    <t xml:space="preserve">37 rows I think are duplicates or consequences. Scanning, not typing.</t>
  </si>
  <si>
    <t xml:space="preserve">E · decisions and open items</t>
  </si>
  <si>
    <t xml:space="preserve">A log now, not a list of asks. Seven of nine closed.</t>
  </si>
  <si>
    <t xml:space="preserve">Where the data came from</t>
  </si>
  <si>
    <t xml:space="preserve">forecast/collect/wiki_firstseen.py reads the stored revisions and writes conditions/drafts/. conditions_audit.py flags the rows. Both re-run any time; this workbook is a snapshot of one run.</t>
  </si>
  <si>
    <t xml:space="preserve">When is a map 'in effect'?</t>
  </si>
  <si>
    <t xml:space="preserve">The workbook uses one test: a map is in effect when it governs the ballot that actually gets printed. That is the only definition a seat forecast can use, because a seat forecast is a claim about ballots. Virginia is the hard case — the referendum passed, so in a real sense 'that was the map' for seventeen days — but no map was ever drawn under it and no ballot was ever going to carry it, so in_effect_for_2026 stays 'no' throughout. What changed in those seventeen days was expectation, not districts, and expectation is what the markets price rather than what this table records.</t>
  </si>
  <si>
    <t xml:space="preserve">What it cannot tell you</t>
  </si>
  <si>
    <t xml:space="preserve">Wikipedia dates the EDIT, not the event. Median lag in this run looks like a day, but the rows in sheet A are the ones where it is worse, or where the fact was already on the page before we started watching and the true date is earlier than anything we hold.</t>
  </si>
  <si>
    <t xml:space="preserve">Progress</t>
  </si>
  <si>
    <t xml:space="preserve">E · only you can get this</t>
  </si>
  <si>
    <t xml:space="preserve">YOUR ANSWERS, carried over verbatim, with my review in the last column. Six rows are clean and ready to merge. Four need one more touch — read `my review`.</t>
  </si>
  <si>
    <t xml:space="preserve">person</t>
  </si>
  <si>
    <t xml:space="preserve">race_id</t>
  </si>
  <si>
    <t xml:space="preserve">event_type (ours)</t>
  </si>
  <si>
    <t xml:space="preserve">known_by (ours)</t>
  </si>
  <si>
    <t xml:space="preserve">why this is here</t>
  </si>
  <si>
    <t xml:space="preserve">what the page said</t>
  </si>
  <si>
    <t xml:space="preserve">keep or drop</t>
  </si>
  <si>
    <t xml:space="preserve">event_type (yours)</t>
  </si>
  <si>
    <t xml:space="preserve">event_date</t>
  </si>
  <si>
    <t xml:space="preserve">source_url</t>
  </si>
  <si>
    <t xml:space="preserve">notes</t>
  </si>
  <si>
    <t xml:space="preserve">my review</t>
  </si>
  <si>
    <t xml:space="preserve">EXAMPLE — delete this row</t>
  </si>
  <si>
    <t xml:space="preserve">HOU_OH_05_2026</t>
  </si>
  <si>
    <t xml:space="preserve">retiring</t>
  </si>
  <si>
    <t xml:space="preserve">2025-06-14</t>
  </si>
  <si>
    <t xml:space="preserve">already on the page on day one</t>
  </si>
  <si>
    <t xml:space="preserve">#OH-5: Jane Doe is retiring.</t>
  </si>
  <si>
    <t xml:space="preserve">keep</t>
  </si>
  <si>
    <t xml:space="preserve">seeking_other_office</t>
  </si>
  <si>
    <t xml:space="preserve">2025-06-11</t>
  </si>
  <si>
    <t xml:space="preserve">https://example.org/press</t>
  </si>
  <si>
    <t xml:space="preserve">announced at a county dinner, reported next morning</t>
  </si>
  <si>
    <t xml:space="preserve">Raúl Grijalva</t>
  </si>
  <si>
    <t xml:space="preserve">HOU_AZ_07_2026</t>
  </si>
  <si>
    <t xml:space="preserve">2025-01-20</t>
  </si>
  <si>
    <t xml:space="preserve">already on the page when we started watching — the real date is EARLIER. Needs a primary source or the row goes</t>
  </si>
  <si>
    <t xml:space="preserve"># AZ-7: Raúl Grijalva is retiring.</t>
  </si>
  <si>
    <t xml:space="preserve">2024-10-01</t>
  </si>
  <si>
    <t xml:space="preserve">https://www.kjzz.org/elections/2024-10-01/u-s-rep-raul-grijalva-wont-run-again-in-2026</t>
  </si>
  <si>
    <t xml:space="preserve">Announced in KOLD-TV interview on Oct 1, 2024; later died in office March 13, 2025.</t>
  </si>
  <si>
    <t xml:space="preserve">GOOD, and it needs a second row. He announced 2024-10-01 — BEFORE the term starts — so known_by becomes 2024-10-01 too and this row sits outside the site's 2025-01-20 frame, which is correct for a conditions table. But he then died in office on 2025-03-13, and that is a separate dated event this table should hold: add a `died` row. The 2026 incumbent for AZ-7 is the special-election winner, not him, so incumbent_on_ballot_after needs care here.</t>
  </si>
  <si>
    <t xml:space="preserve">Cory Mills</t>
  </si>
  <si>
    <t xml:space="preserve">HOU_FL_07_2026</t>
  </si>
  <si>
    <t xml:space="preserve">merge — keep this date, take the lost_primary type from 2026-08-19</t>
  </si>
  <si>
    <t xml:space="preserve"># FL-7: Cory Mills is retiring to run for U.S. Senate.</t>
  </si>
  <si>
    <t xml:space="preserve">lost primary</t>
  </si>
  <si>
    <t xml:space="preserve">2026-08-18</t>
  </si>
  <si>
    <t xml:space="preserve">[https://ballotpedia.org/Florida%27s_7th_Congressional_District_election,_2026_(August_18_Republican_primary](https://ballotpedia.org/Florida%27s_7th_Congressional_District_election,_2026_(August_18_Republican_primary))</t>
  </si>
  <si>
    <t xml:space="preserve">Did not run for Senate; ran for re-election in FL-07 and lost the Republican primary on August 18, 2026.</t>
  </si>
  <si>
    <t xml:space="preserve">TYPO: 'lost primary' should be `lost_primary` — the vocabulary is underscored and a space makes it a new category. Bigger question: this row's known_by belongs to the SENATE claim the page made in January 2025, which you have now established never happened. Two honest options — (a) keep only the lost_primary event dated 2026-08-18 and note the abandoned Senate bid, or (b) keep both, with an `unretired` row in between when he filed for re-election. I lean (a) unless you want the abandoned bid in the timeline. Also the source_url is a doubled markdown link and needs unwrapping.</t>
  </si>
  <si>
    <t xml:space="preserve">Danny K. Davis</t>
  </si>
  <si>
    <t xml:space="preserve">HOU_IL_07_2026</t>
  </si>
  <si>
    <t xml:space="preserve">2025-07-30</t>
  </si>
  <si>
    <t xml:space="preserve">two names for this seat and event type: Danny Davis, Danny K. Davis — one is a misread table cell</t>
  </si>
  <si>
    <t xml:space="preserve"># IL-7: Danny K. Davis is retiring.</t>
  </si>
  <si>
    <t xml:space="preserve">2025-07-31</t>
  </si>
  <si>
    <t xml:space="preserve">[https://www.cbsnews.com/chicago/news/congressman-danny-davis-retiring-endorses-la-shawn-ford/](https://www.cbsnews.com/chicago/news/congressman-danny-davis-retiring-endorses-la-shawn-ford/)</t>
  </si>
  <si>
    <t xml:space="preserve">Primary record. Formally announced retirement on July 31, 2025.</t>
  </si>
  <si>
    <t xml:space="preserve">GOOD, and worth noticing that event_date (07-31) is AFTER known_by (07-30). That is not an error here — the page carried the news a day before the formal announcement — but it is exactly the pattern that flags a genuine date mix-up elsewhere, so I would leave your note in place explaining it. source_url is a doubled markdown link; needs unwrapping.</t>
  </si>
  <si>
    <t xml:space="preserve">Danny Davis</t>
  </si>
  <si>
    <t xml:space="preserve">2025-08-01</t>
  </si>
  <si>
    <t xml:space="preserve"># IL-7: Danny Davis is retiring.</t>
  </si>
  <si>
    <t xml:space="preserve">drop</t>
  </si>
  <si>
    <t xml:space="preserve">Duplicate entry due to missing middle initial in table cell.</t>
  </si>
  <si>
    <t xml:space="preserve">AGREED. Clean drop.</t>
  </si>
  <si>
    <t xml:space="preserve">Al Green</t>
  </si>
  <si>
    <t xml:space="preserve">HOU_TX_09_2026</t>
  </si>
  <si>
    <t xml:space="preserve">2025-09-02</t>
  </si>
  <si>
    <t xml:space="preserve">visible for a single day. Usually a reworded entry that left a stale twin behind</t>
  </si>
  <si>
    <t xml:space="preserve"># TX-9: Al Green is retiring due to redistricting.</t>
  </si>
  <si>
    <t xml:space="preserve">https://ballotpedia.org/Texas%27_18th_Congressional_District_election,_2026_(March_3_Democratic_primary)</t>
  </si>
  <si>
    <t xml:space="preserve">Stale entry. Did not retire; ran in TX-18 following Texas redistricting.</t>
  </si>
  <si>
    <t xml:space="preserve">AGREED that it is not a retirement, but this is NOT nothing. He moved from TX-09 to TX-18 because of the Texas redraw, and our schema has no event type for an incumbent switching districts. That matters for any incumbency term: TX-09 loses its incumbent without a retirement, and TX-18 gains one who is not its 2024 incumbent. Suggest adding `switched_district` to the vocabulary and recording it with the TX-2025-hb4 plan_id.</t>
  </si>
  <si>
    <t xml:space="preserve">Tim Walz</t>
  </si>
  <si>
    <t xml:space="preserve">GOV_MN_2026</t>
  </si>
  <si>
    <t xml:space="preserve">2026-01-05</t>
  </si>
  <si>
    <t xml:space="preserve">two names for this seat and event type: Peggy Bennett, Tim Walz — one is a misread table cell</t>
  </si>
  <si>
    <t xml:space="preserve">! Minnesota | Tim | Walz (retiring) | data-sort-value="-52.3" | 52.27% DFL</t>
  </si>
  <si>
    <t xml:space="preserve">https://www.theguardian.com/us-news/2026/jan/05/tim-walz-minnesota-governor-reelection</t>
  </si>
  <si>
    <t xml:space="preserve">notes: Withdrew from running for a third term as Minnesota Governor on January 5, 2026.</t>
  </si>
  <si>
    <t xml:space="preserve">AGREED. Clean keep. (Your notes cell has 'notes:' doubled at the front.)</t>
  </si>
  <si>
    <t xml:space="preserve">Peggy Bennett</t>
  </si>
  <si>
    <t xml:space="preserve">2026-01-07</t>
  </si>
  <si>
    <t xml:space="preserve">! Minnesota | Tim | Walz | DFL | 2018 | data-sort-value=-52.3 | 52.3% DFL | Incumbent retiring | nowrap | {{Plainlist | * Peggy Bennett (Republican)</t>
  </si>
  <si>
    <t xml:space="preserve">https://en.wikipedia.org/wiki/2026_Minnesota_gubernatorial_election</t>
  </si>
  <si>
    <t xml:space="preserve">notes: Misread table cell twin; drop to keep the Tim Walz primary governor record clean.</t>
  </si>
  <si>
    <t xml:space="preserve">AGREED. Clean drop — she is a challenger listed in the incumbent row's candidate cell. (Your notes cell also has 'notes:' doubled.)</t>
  </si>
  <si>
    <t xml:space="preserve">Sharice Davids</t>
  </si>
  <si>
    <t xml:space="preserve">HOU_KS_03_2026</t>
  </si>
  <si>
    <t xml:space="preserve">2026-02-07</t>
  </si>
  <si>
    <t xml:space="preserve">! KS-3 | Sharice | Davids (retiring) | data-sort-value=-53.4 | 53.4% D</t>
  </si>
  <si>
    <t xml:space="preserve">https://ballotpedia.org/Kansas%27_3rd_Congressional_District_election,_2026_(August_4_Democratic_primary)</t>
  </si>
  <si>
    <t xml:space="preserve">Stale single-day entry. Did not retire; ran for re-election in KS-03.</t>
  </si>
  <si>
    <t xml:space="preserve">AGREED, and this one is worth keeping a record of: a fact that was on the page for a single day and was never true. It is the clearest evidence in the set that the `low` / one-day grade is doing real work.</t>
  </si>
  <si>
    <t xml:space="preserve">Tony Gonzales</t>
  </si>
  <si>
    <t xml:space="preserve">HOU_TX_23_2026</t>
  </si>
  <si>
    <t xml:space="preserve">2026-03-06</t>
  </si>
  <si>
    <t xml:space="preserve">merge — keep this date, take the withdrew type from 2026-03-14</t>
  </si>
  <si>
    <t xml:space="preserve"># TX-23: Tony Gonzales is retiring.</t>
  </si>
  <si>
    <t xml:space="preserve">withdrew</t>
  </si>
  <si>
    <t xml:space="preserve">2026-03-05</t>
  </si>
  <si>
    <t xml:space="preserve">https://www.texastribune.org/2026/03/05/tony-gonzales-drops-out-republican-primary-texas-23rd-district-congress/</t>
  </si>
  <si>
    <t xml:space="preserve">Dropped out of the primary runoff and announced he would not seek re-election on March 5, 2026.</t>
  </si>
  <si>
    <t xml:space="preserve">GOOD. Note event_date 2026-03-05 is one day BEFORE known_by 2026-03-06, which is the normal direction and a small confirmation that the extractor's dates are landing about a day late, as expected.</t>
  </si>
  <si>
    <t xml:space="preserve">2026-03-14</t>
  </si>
  <si>
    <t xml:space="preserve"># TX-23: Tony Gonzales was originally set to run in a runoff, but he withdrew.</t>
  </si>
  <si>
    <t xml:space="preserve">Duplicate entry merged into Row 10.</t>
  </si>
  <si>
    <t xml:space="preserve">AGREED. Your note says 'merged into Row 10' — it is row 12 in this sheet. Cosmetic.</t>
  </si>
  <si>
    <t xml:space="preserve">PRE-FILLED. One row per state that redrew or tried to. The third column is the one that settles 'did it actually happen': it counts districts whose Cook PVI moved between pvi_prior and pvi in the capture already in your private repo. Yellow = please check. Read the Virginia row.</t>
  </si>
  <si>
    <t xml:space="preserve">state</t>
  </si>
  <si>
    <t xml:space="preserve">wiki status, first -&gt; last</t>
  </si>
  <si>
    <t xml:space="preserve">districts whose PVI moved</t>
  </si>
  <si>
    <t xml:space="preserve">plan_id</t>
  </si>
  <si>
    <t xml:space="preserve">plan_name</t>
  </si>
  <si>
    <t xml:space="preserve">proposer</t>
  </si>
  <si>
    <t xml:space="preserve">n_districts_changed</t>
  </si>
  <si>
    <t xml:space="preserve">est_net_seat_shift_R</t>
  </si>
  <si>
    <t xml:space="preserve">shift_source</t>
  </si>
  <si>
    <t xml:space="preserve">baseline_file</t>
  </si>
  <si>
    <t xml:space="preserve">checked?</t>
  </si>
  <si>
    <t xml:space="preserve">2025-07-31 Pending legislative action -&gt; 2025-08-29 Litigation pending</t>
  </si>
  <si>
    <t xml:space="preserve">12 of 15</t>
  </si>
  <si>
    <t xml:space="preserve">XX-2025-hb1</t>
  </si>
  <si>
    <t xml:space="preserve">House Bill 1</t>
  </si>
  <si>
    <t xml:space="preserve">legislature</t>
  </si>
  <si>
    <t xml:space="preserve">+3 R (intended)</t>
  </si>
  <si>
    <t xml:space="preserve">Ballotpedia</t>
  </si>
  <si>
    <t xml:space="preserve">cook_pvi/...</t>
  </si>
  <si>
    <t xml:space="preserve">signed 2025-08-22</t>
  </si>
  <si>
    <t xml:space="preserve">yes</t>
  </si>
  <si>
    <t xml:space="preserve">TX</t>
  </si>
  <si>
    <t xml:space="preserve">2025-07-31 Pending legislative action  -&gt;  2025-08-29 Litigation pending</t>
  </si>
  <si>
    <t xml:space="preserve">29 of 38</t>
  </si>
  <si>
    <t xml:space="preserve">TX-2025-hb4</t>
  </si>
  <si>
    <t xml:space="preserve">House Bill 4</t>
  </si>
  <si>
    <t xml:space="preserve">+5 R (intended)</t>
  </si>
  <si>
    <t xml:space="preserve">https://ballotpedia.org/Redistricting_ahead_of_the_2026_elections</t>
  </si>
  <si>
    <t xml:space="preserve">cook_pvi/2026-08-19/manual.json (pvi_prior = old map, pvi = new)</t>
  </si>
  <si>
    <t xml:space="preserve">Mid-decade partisan redraw. Quorum break 2025-08-03; signed 2025-08-29. 29 of 38 districts moved.</t>
  </si>
  <si>
    <t xml:space="preserve">CA</t>
  </si>
  <si>
    <t xml:space="preserve">2025-08-09 Pending legislative action  -&gt;  2025-11-05 New districts enacted</t>
  </si>
  <si>
    <t xml:space="preserve">39 of 52</t>
  </si>
  <si>
    <t xml:space="preserve">CA-2025-prop50</t>
  </si>
  <si>
    <t xml:space="preserve">Legislature map, ratified at the 2025-11-04 special election</t>
  </si>
  <si>
    <t xml:space="preserve">legislature + voters</t>
  </si>
  <si>
    <t xml:space="preserve">+5 D (intended)</t>
  </si>
  <si>
    <t xml:space="preserve">Needed a constitutional amendment at the ballot, so the enactment date is the election, not the signing. The California counterpart to Virginia: same mechanism, opposite outcome.</t>
  </si>
  <si>
    <t xml:space="preserve">MO</t>
  </si>
  <si>
    <t xml:space="preserve">2025-11-04 New districts enacted  -&gt;  2025-11-04 New districts enacted</t>
  </si>
  <si>
    <t xml:space="preserve">5 of 8</t>
  </si>
  <si>
    <t xml:space="preserve">MO-2025-special</t>
  </si>
  <si>
    <t xml:space="preserve">Special-session congressional map</t>
  </si>
  <si>
    <t xml:space="preserve">+1 R (intended)</t>
  </si>
  <si>
    <t xml:space="preserve">https://en.wikipedia.org/wiki/2025%E2%80%932026_United_States_redistricting</t>
  </si>
  <si>
    <t xml:space="preserve">CORRECTED: signed 2025-09-28, not merely proposed on 08-29. Missouri Supreme Court upheld it 4-3 on 2026-03-24. A citizens' initiative to refer it is still live, so this is the one enacted map whose status could still move.</t>
  </si>
  <si>
    <t xml:space="preserve">OH</t>
  </si>
  <si>
    <t xml:space="preserve">2025-08-29 Pending legislative action  -&gt;  2025-10-31 New districts enacted</t>
  </si>
  <si>
    <t xml:space="preserve">OH-2025-required</t>
  </si>
  <si>
    <t xml:space="preserve">Four-year replacement map</t>
  </si>
  <si>
    <t xml:space="preserve">legislature / redistricting commission</t>
  </si>
  <si>
    <t xml:space="preserve">our archive · House elections page status table</t>
  </si>
  <si>
    <t xml:space="preserve">NOT a partisan mid-decade redraw: the 2018 amendment required a new map by 2025-11-20 because the 2022 map passed without bipartisan support.</t>
  </si>
  <si>
    <t xml:space="preserve">UT</t>
  </si>
  <si>
    <t xml:space="preserve">2025-07-31 Litigation pending  -&gt;  2025-08-26 Pending legislative action</t>
  </si>
  <si>
    <t xml:space="preserve">4 of 4</t>
  </si>
  <si>
    <t xml:space="preserve">UT-2025-court</t>
  </si>
  <si>
    <t xml:space="preserve">Plaintiff Map 1, imposed by the court</t>
  </si>
  <si>
    <t xml:space="preserve">court</t>
  </si>
  <si>
    <t xml:space="preserve">+1 D</t>
  </si>
  <si>
    <t xml:space="preserve">CORRECTED and more tangled than the first pass had it: the 2021 map fell 2025-08-25; the legislature passed a replacement 2025-10-06; Judge Gibson held THAT one also violated Proposition 4 on 2025-11-10 and imposed the plaintiffs' map, creating a safe Democratic seat. A repeal petition failed 2026-03-26.</t>
  </si>
  <si>
    <t xml:space="preserve">NC</t>
  </si>
  <si>
    <t xml:space="preserve">not in the status table</t>
  </si>
  <si>
    <t xml:space="preserve">2 of 14</t>
  </si>
  <si>
    <t xml:space="preserve">NC-2025-map</t>
  </si>
  <si>
    <t xml:space="preserve">2025 congressional map</t>
  </si>
  <si>
    <t xml:space="preserve">Passed 2025-10-22 and became law without the governor's signature, which North Carolina does not require for redistricting. Targeted NC-01. Two districts moved.</t>
  </si>
  <si>
    <t xml:space="preserve">FL</t>
  </si>
  <si>
    <t xml:space="preserve">2025-07-31 Previous districts left in place  -&gt;  2025-11-16 Districts left in place</t>
  </si>
  <si>
    <t xml:space="preserve">16 of 28</t>
  </si>
  <si>
    <t xml:space="preserve">FL-2026-postcallais</t>
  </si>
  <si>
    <t xml:space="preserve">2026 congressional map</t>
  </si>
  <si>
    <t xml:space="preserve">+4 R (intended)</t>
  </si>
  <si>
    <t xml:space="preserve">The largest wave-2 redraw: 16 of 28 districts moved. Proclamation 2026-01-07, special session 2026-04-20..24, passed 2026-04-29, signed 2026-05-04.</t>
  </si>
  <si>
    <t xml:space="preserve">LA</t>
  </si>
  <si>
    <t xml:space="preserve">2025-07-31 Previous districts left in place  -&gt;  2025-10-14 Litigation pending</t>
  </si>
  <si>
    <t xml:space="preserve">6 of 6</t>
  </si>
  <si>
    <t xml:space="preserve">LA-2026-postcallais</t>
  </si>
  <si>
    <t xml:space="preserve">Post-Callais replacement map</t>
  </si>
  <si>
    <t xml:space="preserve">+1 R</t>
  </si>
  <si>
    <t xml:space="preserve">Callais struck the second majority-Black district. Primaries delayed; new map passed 2026-05-29 altering LA-06. Facing further challenge.</t>
  </si>
  <si>
    <t xml:space="preserve">TN</t>
  </si>
  <si>
    <t xml:space="preserve">6 of 9</t>
  </si>
  <si>
    <t xml:space="preserve">TN-2026-postcallais</t>
  </si>
  <si>
    <t xml:space="preserve">Extraordinary session called by Governor Lee targeting TN-09. Passed and signed the same day, 2026-05-07. Judge Campbell declined to block it 2026-05-26.</t>
  </si>
  <si>
    <t xml:space="preserve">AL</t>
  </si>
  <si>
    <t xml:space="preserve">4 of 7</t>
  </si>
  <si>
    <t xml:space="preserve">AL-2026-postcallais</t>
  </si>
  <si>
    <t xml:space="preserve">2026 special-session map</t>
  </si>
  <si>
    <t xml:space="preserve">Passed CONDITIONALLY, to take effect only if the Allen v. Milligan injunction were lifted — which the Supreme Court did 2026-06-02, 6-3, by unsigned emergency order. Removes the majority-Black district the courts had added.</t>
  </si>
  <si>
    <t xml:space="preserve">VA</t>
  </si>
  <si>
    <t xml:space="preserve">2025-10-23 Pending legislative action  -&gt;  2025-10-23 Pending legislative action</t>
  </si>
  <si>
    <t xml:space="preserve">0 — the map did not change</t>
  </si>
  <si>
    <t xml:space="preserve">VA-2026-amendment</t>
  </si>
  <si>
    <t xml:space="preserve">Use of Legislative Congressional Redistricting Map Amendment</t>
  </si>
  <si>
    <t xml:space="preserve">+2-3 D (intended)</t>
  </si>
  <si>
    <t xml:space="preserve">https://en.wikipedia.org/wiki/2026_Virginia_redistricting_referendum · https://www.npr.org/2026/05/08/nx-s1-5805193/redistricting-virginia-trump-midterms</t>
  </si>
  <si>
    <t xml:space="preserve">RESOLVED. Approved at referendum 2026-04-21 (51.69/48.31); the state supreme court threw out the referendum RESULT on 2026-05-08, 4-3, for procedural defects in placing it on the ballot; SCOTUS declined the emergency appeal 2026-05-15. A map WAS drawn — HB 29, signed contingently 2026-02-20 — but it never governed a ballot, and the commission map stands.</t>
  </si>
  <si>
    <t xml:space="preserve">FL-2025-attempt</t>
  </si>
  <si>
    <t xml:space="preserve">Select Committee on Congressional Redistricting</t>
  </si>
  <si>
    <t xml:space="preserve">The 2025 Florida attempt, which produced no map. Kept apart from FL-2026-postcallais so 2025 status rows are not bolted onto a plan that did not exist yet.</t>
  </si>
  <si>
    <t xml:space="preserve">IN</t>
  </si>
  <si>
    <t xml:space="preserve">2025-10-27 Pending legislative action  -&gt;  2025-10-27 Pending legislative action</t>
  </si>
  <si>
    <t xml:space="preserve">IN-2025-attempt</t>
  </si>
  <si>
    <t xml:space="preserve">Special-session map</t>
  </si>
  <si>
    <t xml:space="preserve">+2 R (intended)</t>
  </si>
  <si>
    <t xml:space="preserve">FAILED, and the most consequential failure in the set. Session called 2025-10-27; House passed a map targeting IN-01 and IN-07 on 2025-12-05; the Senate rejected it 2025-12-11 with 21 Republicans against. At least five of those Republicans lost renomination in 2026.</t>
  </si>
  <si>
    <t xml:space="preserve">MD</t>
  </si>
  <si>
    <t xml:space="preserve">MD-2025-commission</t>
  </si>
  <si>
    <t xml:space="preserve">Governor's Redistricting Advisory Commission map</t>
  </si>
  <si>
    <t xml:space="preserve">commission</t>
  </si>
  <si>
    <t xml:space="preserve">+1 D (intended)</t>
  </si>
  <si>
    <t xml:space="preserve">FAILED. Commission recommended 2025-12-18 and again 2026-01-20 for MD-01; the House passed it 99-37 on 2026-02-02; the Senate President declined to bring it to a vote, which killed it without a recorded defeat.</t>
  </si>
  <si>
    <t xml:space="preserve">KS</t>
  </si>
  <si>
    <t xml:space="preserve">KS-2025-attempt</t>
  </si>
  <si>
    <t xml:space="preserve">FAILED. Budget for a special session approved, votes never there; the regular-session effort stalled.</t>
  </si>
  <si>
    <t xml:space="preserve">SC</t>
  </si>
  <si>
    <t xml:space="preserve">2025-08-30 Litigation pending  -&gt;  2025-10-24 Districts left in place</t>
  </si>
  <si>
    <t xml:space="preserve">SC-2026-attempt</t>
  </si>
  <si>
    <t xml:space="preserve">FAILED. The House extended the calendar for redistricting; the Senate adjourned 2026-05-26 without ending debate, by which point primary voting had already begun.</t>
  </si>
  <si>
    <t xml:space="preserve">NY</t>
  </si>
  <si>
    <t xml:space="preserve">2025-10-30 Pending judicial action  -&gt;  2025-11-01 Litigation pending</t>
  </si>
  <si>
    <t xml:space="preserve">NY-2026-court</t>
  </si>
  <si>
    <t xml:space="preserve">BLOCKED. A state judge struck the lines of the city's only Republican-held seat in January 2026; the U.S. Supreme Court blocked the redraw 2026-03-02 and the original lines stand.</t>
  </si>
  <si>
    <t xml:space="preserve">WI</t>
  </si>
  <si>
    <t xml:space="preserve">2025-07-31 Previous districts left in place  -&gt;  2025-10-01 Litigation pending</t>
  </si>
  <si>
    <t xml:space="preserve">WI-litigation</t>
  </si>
  <si>
    <t xml:space="preserve">litigants</t>
  </si>
  <si>
    <t xml:space="preserve">NO CHANGE. Felton v. Wisconsin Elections Commission declined; Bothfeld v. WEC and WBLD v. WEC both rejected. The 6-2 map stands.</t>
  </si>
  <si>
    <t xml:space="preserve">GA</t>
  </si>
  <si>
    <t xml:space="preserve">2025-07-31 Litigation pending  -&gt;  2025-07-31 Litigation pending</t>
  </si>
  <si>
    <t xml:space="preserve">GA-litigation</t>
  </si>
  <si>
    <t xml:space="preserve">NO CHANGE. In litigation through the window; the master chronology documents no Georgia action and no district moved.</t>
  </si>
  <si>
    <t xml:space="preserve">AR</t>
  </si>
  <si>
    <t xml:space="preserve">2025-07-31 Previous districts left in place  -&gt;  2025-10-24 Districts left in place</t>
  </si>
  <si>
    <t xml:space="preserve">AR-2025-status</t>
  </si>
  <si>
    <t xml:space="preserve">NO CHANGE. Appears in our status table only; previous districts left in place.</t>
  </si>
  <si>
    <t xml:space="preserve">PRE-FILLED. Sorted by date so it reads as one timeline. Rows marked 'our archive' come from the status table the House elections page carried from 2025-07-31 until it was DELETED on 2026-01-24 — which is exactly why every post-Callais event had to come from elsewhere and is marked '(outside the table)'. I guessed `status_after` and `in_effect_for_2026` from the page's wording; check them.</t>
  </si>
  <si>
    <t xml:space="preserve">known_by</t>
  </si>
  <si>
    <t xml:space="preserve">kind</t>
  </si>
  <si>
    <t xml:space="preserve">status before</t>
  </si>
  <si>
    <t xml:space="preserve">status after (page's words)</t>
  </si>
  <si>
    <t xml:space="preserve">where it came from</t>
  </si>
  <si>
    <t xml:space="preserve">event_type</t>
  </si>
  <si>
    <t xml:space="preserve">status_after</t>
  </si>
  <si>
    <t xml:space="preserve">in_effect_for_2026</t>
  </si>
  <si>
    <t xml:space="preserve">court_case</t>
  </si>
  <si>
    <t xml:space="preserve">2025-08-29</t>
  </si>
  <si>
    <t xml:space="preserve">CHANGE</t>
  </si>
  <si>
    <t xml:space="preserve">Pending legislative action</t>
  </si>
  <si>
    <t xml:space="preserve">Litigation pending</t>
  </si>
  <si>
    <t xml:space="preserve">our archive · wiki status table</t>
  </si>
  <si>
    <t xml:space="preserve">court_ruling</t>
  </si>
  <si>
    <t xml:space="preserve">enjoined</t>
  </si>
  <si>
    <t xml:space="preserve">no</t>
  </si>
  <si>
    <t xml:space="preserve">2025-08-28</t>
  </si>
  <si>
    <t xml:space="preserve">LULAC v. Texas</t>
  </si>
  <si>
    <t xml:space="preserve">https://example.org/order.pdf</t>
  </si>
  <si>
    <t xml:space="preserve">three-judge panel</t>
  </si>
  <si>
    <t xml:space="preserve">2025-07-21</t>
  </si>
  <si>
    <t xml:space="preserve">CHANGE (outside the table)</t>
  </si>
  <si>
    <t xml:space="preserve">introduced</t>
  </si>
  <si>
    <t xml:space="preserve">proposed</t>
  </si>
  <si>
    <t xml:space="preserve">30-day special session began</t>
  </si>
  <si>
    <t xml:space="preserve">status we inherited</t>
  </si>
  <si>
    <t xml:space="preserve">Previous districts left in place</t>
  </si>
  <si>
    <t xml:space="preserve">not an event — this is the state's status on the first day we hold it</t>
  </si>
  <si>
    <t xml:space="preserve">2025-08-09</t>
  </si>
  <si>
    <t xml:space="preserve">2025-08-17</t>
  </si>
  <si>
    <t xml:space="preserve">Pending legislative action and referendum</t>
  </si>
  <si>
    <t xml:space="preserve">2025-08-20</t>
  </si>
  <si>
    <t xml:space="preserve">passed_chamber</t>
  </si>
  <si>
    <t xml:space="preserve">House approved HB 4, 88-52</t>
  </si>
  <si>
    <t xml:space="preserve">2025-08-21</t>
  </si>
  <si>
    <t xml:space="preserve">Pending referendum</t>
  </si>
  <si>
    <t xml:space="preserve">passed_legislature</t>
  </si>
  <si>
    <t xml:space="preserve">Legislature passed the bills; Governor signed</t>
  </si>
  <si>
    <t xml:space="preserve">Pending legislative action and litigation pending</t>
  </si>
  <si>
    <t xml:space="preserve">'litigation pending' has no equivalent in our five statuses: it says a case exists, not that the map is blocked. Fill status_after with what was actually in effect that day.</t>
  </si>
  <si>
    <t xml:space="preserve">2025-08-23</t>
  </si>
  <si>
    <t xml:space="preserve">Senate approved, 18-11</t>
  </si>
  <si>
    <t xml:space="preserve">2025-08-25</t>
  </si>
  <si>
    <t xml:space="preserve">League of Women Voters v. Utah State Legislature</t>
  </si>
  <si>
    <t xml:space="preserve">The 2021 map struck down</t>
  </si>
  <si>
    <t xml:space="preserve">2025-08-26</t>
  </si>
  <si>
    <t xml:space="preserve">Governor Kehoe announced the special session</t>
  </si>
  <si>
    <t xml:space="preserve">signed</t>
  </si>
  <si>
    <t xml:space="preserve">enacted</t>
  </si>
  <si>
    <t xml:space="preserve">Governor Abbott signed</t>
  </si>
  <si>
    <t xml:space="preserve">2025-08-30</t>
  </si>
  <si>
    <t xml:space="preserve">2025-09-17</t>
  </si>
  <si>
    <t xml:space="preserve">dead</t>
  </si>
  <si>
    <t xml:space="preserve">2025-09-28</t>
  </si>
  <si>
    <t xml:space="preserve">CORRECTION to the earlier draft, which had this map as merely proposed: Kehoe signed it on this date</t>
  </si>
  <si>
    <t xml:space="preserve">2025-10-01</t>
  </si>
  <si>
    <t xml:space="preserve">2025-10-06</t>
  </si>
  <si>
    <t xml:space="preserve">The legislature's replacement map</t>
  </si>
  <si>
    <t xml:space="preserve">2025-10-14</t>
  </si>
  <si>
    <t xml:space="preserve">2025-10-22</t>
  </si>
  <si>
    <t xml:space="preserve">Became law without the governor's signature, which NC does not require for redistricting</t>
  </si>
  <si>
    <t xml:space="preserve">2025-10-23</t>
  </si>
  <si>
    <t xml:space="preserve">2025-10-24</t>
  </si>
  <si>
    <t xml:space="preserve">wording change?</t>
  </si>
  <si>
    <t xml:space="preserve">Districts left in place</t>
  </si>
  <si>
    <t xml:space="preserve">probably nothing — same claim, different words</t>
  </si>
  <si>
    <t xml:space="preserve">2025-10-27</t>
  </si>
  <si>
    <t xml:space="preserve">Governor Braun called a special session for Nov 3</t>
  </si>
  <si>
    <t xml:space="preserve">2025-10-30</t>
  </si>
  <si>
    <t xml:space="preserve">Pending judicial action</t>
  </si>
  <si>
    <t xml:space="preserve">2025-10-31</t>
  </si>
  <si>
    <t xml:space="preserve">New districts enacted</t>
  </si>
  <si>
    <t xml:space="preserve">First passage (Senate 21-16). Virginia amendments must pass twice.</t>
  </si>
  <si>
    <t xml:space="preserve">2025-11-01</t>
  </si>
  <si>
    <t xml:space="preserve">2025-11-04</t>
  </si>
  <si>
    <t xml:space="preserve">referendum_approved</t>
  </si>
  <si>
    <t xml:space="preserve">Special election ratified the amendment; our status table flipped to 'New districts enacted' the next day</t>
  </si>
  <si>
    <t xml:space="preserve">Governor Moore formed the advisory commission</t>
  </si>
  <si>
    <t xml:space="preserve">2025-11-05</t>
  </si>
  <si>
    <t xml:space="preserve">2025-11-10</t>
  </si>
  <si>
    <t xml:space="preserve">in_effect</t>
  </si>
  <si>
    <t xml:space="preserve">Judge Gibson held the LEGISLATURE'S replacement also violated Proposition 4 and imposed the plaintiffs' Map 1, creating a safe Democratic seat</t>
  </si>
  <si>
    <t xml:space="preserve">2025-11-16</t>
  </si>
  <si>
    <t xml:space="preserve">2025-11-18</t>
  </si>
  <si>
    <t xml:space="preserve">stayed</t>
  </si>
  <si>
    <t xml:space="preserve">Senate voted to adjourn without acting</t>
  </si>
  <si>
    <t xml:space="preserve">2025-11-26</t>
  </si>
  <si>
    <t xml:space="preserve">Three-judge federal panel allowed the map's use</t>
  </si>
  <si>
    <t xml:space="preserve">2025-12-05</t>
  </si>
  <si>
    <t xml:space="preserve">House passed a map targeting IN-01 and IN-07</t>
  </si>
  <si>
    <t xml:space="preserve">2025-12-11</t>
  </si>
  <si>
    <t xml:space="preserve">blocked</t>
  </si>
  <si>
    <t xml:space="preserve">Senate rejected it: 21 Republicans and all 10 Democrats against. At least five of those Republicans lost renomination in 2026.</t>
  </si>
  <si>
    <t xml:space="preserve">2025-12-18</t>
  </si>
  <si>
    <t xml:space="preserve">commission_adopted</t>
  </si>
  <si>
    <t xml:space="preserve">Commission voted to recommend</t>
  </si>
  <si>
    <t xml:space="preserve">DeSantis proclamation calling the 2026-04-20..24 special session</t>
  </si>
  <si>
    <t xml:space="preserve">2026-01-16</t>
  </si>
  <si>
    <t xml:space="preserve">Second passage, sending it to the ballot</t>
  </si>
  <si>
    <t xml:space="preserve">2026-01-20</t>
  </si>
  <si>
    <t xml:space="preserve">Commission recommended an MD-01 map</t>
  </si>
  <si>
    <t xml:space="preserve">2026-02-02</t>
  </si>
  <si>
    <t xml:space="preserve">House passed 99-37; the Senate President then declined to hold a vote</t>
  </si>
  <si>
    <t xml:space="preserve">2026-02-20</t>
  </si>
  <si>
    <t xml:space="preserve">House Bill 29, signed by Governor Spanberger, DETAILS THE ACTUAL DISTRICT BOUNDARIES — contingently: 'the new districts will not go into effect unless the constitutional amendment is approved by voters.' So a drawn Virginia map does exist on paper, which is what makes a labelled counterfactual run possible at all.</t>
  </si>
  <si>
    <t xml:space="preserve">2026-03-02</t>
  </si>
  <si>
    <t xml:space="preserve">U.S. Supreme Court blocked the state judge's redraw; the original lines stand for 2026</t>
  </si>
  <si>
    <t xml:space="preserve">2026-03-24</t>
  </si>
  <si>
    <t xml:space="preserve">Missouri Supreme Court upheld the map 4-3. A citizens' initiative to refer it is still live.</t>
  </si>
  <si>
    <t xml:space="preserve">2026-03-26</t>
  </si>
  <si>
    <t xml:space="preserve">Republican repeal petition failed</t>
  </si>
  <si>
    <t xml:space="preserve">2026-04-21</t>
  </si>
  <si>
    <t xml:space="preserve">Approved 51.69% to 48.31%. in_effect_for_2026 is 'no' because no map was ever drawn under it — see the Read me.</t>
  </si>
  <si>
    <t xml:space="preserve">2026-04-29</t>
  </si>
  <si>
    <t xml:space="preserve">https://www.supremecourt.gov/opinions/25pdf/24-109_21o3.pdf</t>
  </si>
  <si>
    <t xml:space="preserve">Passed the same day as the decision. The signature came 2026-05-04; an earlier draft of this sheet recorded the passage date as the enactment, and it was not.</t>
  </si>
  <si>
    <t xml:space="preserve">US</t>
  </si>
  <si>
    <t xml:space="preserve">Louisiana v. Callais, No. 24-109</t>
  </si>
  <si>
    <t xml:space="preserve">THE PIVOT. 6-3: Louisiana's second majority-Black district was an unconstitutional racial gerrymander, and Section 2 compliance could not justify it. Every wave-2 redraw below hangs off this date.</t>
  </si>
  <si>
    <t xml:space="preserve">2026-04-30</t>
  </si>
  <si>
    <t xml:space="preserve">Louisiana v. Callais</t>
  </si>
  <si>
    <t xml:space="preserve">Primaries delayed by the Secretary of State to allow a redraw</t>
  </si>
  <si>
    <t xml:space="preserve">2026-05-04</t>
  </si>
  <si>
    <t xml:space="preserve">Governor Ivey called the special session. NOTE: Roll Call reported the CALL on 2026-05-01 and the master chronology dates it 05-04. Three days apart; pick one and say which.</t>
  </si>
  <si>
    <t xml:space="preserve">DeSantis signed</t>
  </si>
  <si>
    <t xml:space="preserve">2026-05-07</t>
  </si>
  <si>
    <t xml:space="preserve">Both chambers passed and Governor Lee signed the same day, targeting TN-09</t>
  </si>
  <si>
    <t xml:space="preserve">2026-05-08</t>
  </si>
  <si>
    <t xml:space="preserve">Virginia Supreme Court, 4-3, threw out the referendum RESULT for procedural defects in placing the amendment on the ballot. Case name still not established.</t>
  </si>
  <si>
    <t xml:space="preserve">2026-05-15</t>
  </si>
  <si>
    <t xml:space="preserve">U.S. Supreme Court declined the emergency appeal; the commission map stands</t>
  </si>
  <si>
    <t xml:space="preserve">MS</t>
  </si>
  <si>
    <t xml:space="preserve">2026-05-18</t>
  </si>
  <si>
    <t xml:space="preserve">Mississippi and North Dakota cases remanded for reconsideration under Callais. No Mississippi district moved.</t>
  </si>
  <si>
    <t xml:space="preserve">2026-05-26</t>
  </si>
  <si>
    <t xml:space="preserve">Senate adjourned until June 10 without ending debate; primary voting had already begun</t>
  </si>
  <si>
    <t xml:space="preserve">Chief District Judge William L. Campbell Jr. declined the ACLU's request to block the map pending appeal</t>
  </si>
  <si>
    <t xml:space="preserve">2026-05-29</t>
  </si>
  <si>
    <t xml:space="preserve">New map altering LA-06 to reduce its Black population</t>
  </si>
  <si>
    <t xml:space="preserve">2026-06-02</t>
  </si>
  <si>
    <t xml:space="preserve">revived</t>
  </si>
  <si>
    <t xml:space="preserve">Allen v. Milligan</t>
  </si>
  <si>
    <t xml:space="preserve">U.S. Supreme Court, 6-3, unsigned emergency order lifting the Milligan injunction. THIS is the date Alabama's map took effect: the legislature had passed it conditionally, to apply only if the injunction were removed.</t>
  </si>
  <si>
    <t xml:space="preserve">Rows I think should not become events. Two kinds: a generic '(retiring)' from the ratings page that a better row already covers with a reason and an earlier date, and the ratings page marking a seat open, which is a consequence of the announcement rather than the announcement. Scan and write `keep` on anything you disagree with; blank means you agree.</t>
  </si>
  <si>
    <t xml:space="preserve">why I want to drop it</t>
  </si>
  <si>
    <t xml:space="preserve">decision</t>
  </si>
  <si>
    <t xml:space="preserve">2025-10-08</t>
  </si>
  <si>
    <t xml:space="preserve">drop — seeking_other_office on 2025-06-14 says the same thing earlier</t>
  </si>
  <si>
    <t xml:space="preserve">! OH-5 | Jane | Doe (retiring) | 57.1% R</t>
  </si>
  <si>
    <t xml:space="preserve">the two are different events for her</t>
  </si>
  <si>
    <t xml:space="preserve">David Schweikert</t>
  </si>
  <si>
    <t xml:space="preserve">HOU_AZ_01_2026</t>
  </si>
  <si>
    <t xml:space="preserve">drop — seeking_other_office on 2025-09-30 says the same thing earlier and with the reason</t>
  </si>
  <si>
    <t xml:space="preserve">! AZ-1 | David | Schweikert (retiring) | data-sort-value=51.9 | 51.9% R</t>
  </si>
  <si>
    <t xml:space="preserve">Andy Biggs</t>
  </si>
  <si>
    <t xml:space="preserve">HOU_AZ_05_2026</t>
  </si>
  <si>
    <t xml:space="preserve">drop — seeking_other_office on 2025-01-25 says the same thing earlier and with the reason</t>
  </si>
  <si>
    <t xml:space="preserve">! AZ-5 | Andy | Biggs (retiring) | data-sort-value=60.4 | 60.4% R</t>
  </si>
  <si>
    <t xml:space="preserve">Buddy Carter</t>
  </si>
  <si>
    <t xml:space="preserve">HOU_GA_01_2026</t>
  </si>
  <si>
    <t xml:space="preserve">drop — seeking_other_office on 2025-05-08 says the same thing earlier and with the reason</t>
  </si>
  <si>
    <t xml:space="preserve">! GA-1 | Buddy | Carter (retiring) | data-sort-value= 62.0 | 62.0% R</t>
  </si>
  <si>
    <t xml:space="preserve">Mike Collins</t>
  </si>
  <si>
    <t xml:space="preserve">HOU_GA_10_2026</t>
  </si>
  <si>
    <t xml:space="preserve">drop — seeking_other_office on 2025-07-28 says the same thing earlier and with the reason</t>
  </si>
  <si>
    <t xml:space="preserve">! GA-10 | Mike | Collins | dab=politician (retiring) | data-sort-value= 63.1 | 63.1% R</t>
  </si>
  <si>
    <t xml:space="preserve">Ashley Hinson</t>
  </si>
  <si>
    <t xml:space="preserve">HOU_IA_02_2026</t>
  </si>
  <si>
    <t xml:space="preserve">drop — seeking_other_office on 2025-09-02 says the same thing earlier and with the reason</t>
  </si>
  <si>
    <t xml:space="preserve">! IA-2 | Ashley | Hinson (retiring) | data-sort-value=57.1 | 57.1% R</t>
  </si>
  <si>
    <t xml:space="preserve">Raja Krishnamoorthi</t>
  </si>
  <si>
    <t xml:space="preserve">HOU_IL_08_2026</t>
  </si>
  <si>
    <t xml:space="preserve">drop — seeking_other_office on 2025-05-07 says the same thing earlier and with the reason</t>
  </si>
  <si>
    <t xml:space="preserve">! IL-8 | Raja | Krishnamoorthi (retiring) | data-sort-value=-57.1 | 57.1% D</t>
  </si>
  <si>
    <t xml:space="preserve">Cleo Fields</t>
  </si>
  <si>
    <t xml:space="preserve">HOU_LA_06_2026</t>
  </si>
  <si>
    <t xml:space="preserve">2026-07-24</t>
  </si>
  <si>
    <t xml:space="preserve">drop — seeking_other_office on 2026-07-24 says the same thing earlier and with the reason</t>
  </si>
  <si>
    <t xml:space="preserve">!LA-6 | Cleo | Fields (retiring) | data-sort-value="50.8" | 50.8% D</t>
  </si>
  <si>
    <t xml:space="preserve">Elise Stefanik</t>
  </si>
  <si>
    <t xml:space="preserve">HOU_NY_21_2026</t>
  </si>
  <si>
    <t xml:space="preserve">2025-12-13</t>
  </si>
  <si>
    <t xml:space="preserve">drop — seeking_other_office on 2025-11-07 says the same thing earlier and with the reason</t>
  </si>
  <si>
    <t xml:space="preserve">! NY-21 | Elise | Stefanik (retiring) | data-sort-value= 62.1 | 62.1% R</t>
  </si>
  <si>
    <t xml:space="preserve">Kevin Hern</t>
  </si>
  <si>
    <t xml:space="preserve">HOU_OK_01_2026</t>
  </si>
  <si>
    <t xml:space="preserve">2026-04-20</t>
  </si>
  <si>
    <t xml:space="preserve">drop — seeking_other_office on 2026-03-11 says the same thing earlier and with the reason</t>
  </si>
  <si>
    <t xml:space="preserve">! OK-1 | Kevin | Hern (retiring) | data-sort-value= 60.4 | 60.4% R</t>
  </si>
  <si>
    <t xml:space="preserve">Nancy Mace</t>
  </si>
  <si>
    <t xml:space="preserve">HOU_SC_01_2026</t>
  </si>
  <si>
    <t xml:space="preserve">drop — seeking_other_office on 2025-08-04 says the same thing earlier and with the reason</t>
  </si>
  <si>
    <t xml:space="preserve">! SC-1 | Nancy | Mace (retiring) | data-sort-value= 58.3 | 58.3% R</t>
  </si>
  <si>
    <t xml:space="preserve">Ralph Norman</t>
  </si>
  <si>
    <t xml:space="preserve">HOU_SC_05_2026</t>
  </si>
  <si>
    <t xml:space="preserve">drop — seeking_other_office on 2025-07-25 says the same thing earlier and with the reason</t>
  </si>
  <si>
    <t xml:space="preserve">! SC-5 | Ralph | Norman (retiring) | data-sort-value= 63.6 | 63.6% R</t>
  </si>
  <si>
    <t xml:space="preserve">Chip Roy</t>
  </si>
  <si>
    <t xml:space="preserve">HOU_TX_21_2026</t>
  </si>
  <si>
    <t xml:space="preserve">drop — seeking_other_office on 2025-08-21 says the same thing earlier and with the reason</t>
  </si>
  <si>
    <t xml:space="preserve">! TX-21 | TBD | Chip | Roy (retiring) | data-sort-value= 61.8 | 61.8% R</t>
  </si>
  <si>
    <t xml:space="preserve">Marc Veasey</t>
  </si>
  <si>
    <t xml:space="preserve">HOU_TX_33_2026</t>
  </si>
  <si>
    <t xml:space="preserve">2025-12-16</t>
  </si>
  <si>
    <t xml:space="preserve">drop — seeking_other_office on 2025-12-08 says the same thing earlier and with the reason</t>
  </si>
  <si>
    <t xml:space="preserve"># TX-33: Marc Veasey is retiring due to redistricting.</t>
  </si>
  <si>
    <t xml:space="preserve">Wesley Hunt</t>
  </si>
  <si>
    <t xml:space="preserve">HOU_TX_38_2026</t>
  </si>
  <si>
    <t xml:space="preserve">2025-10-15</t>
  </si>
  <si>
    <t xml:space="preserve">drop — seeking_other_office on 2025-10-06 says the same thing earlier and with the reason</t>
  </si>
  <si>
    <t xml:space="preserve">! TX-38 | TBD | Wesley | Hunt (retiring) | 62.9% R</t>
  </si>
  <si>
    <t xml:space="preserve">Tom Tiffany</t>
  </si>
  <si>
    <t xml:space="preserve">HOU_WI_07_2026</t>
  </si>
  <si>
    <t xml:space="preserve">drop — seeking_other_office on 2025-09-23 says the same thing earlier and with the reason</t>
  </si>
  <si>
    <t xml:space="preserve">! WI-7 | Tom | Tiffany (retiring) | data-sort-value= 63.6 | 63.6% R</t>
  </si>
  <si>
    <t xml:space="preserve">Andy Barr</t>
  </si>
  <si>
    <t xml:space="preserve">HOU_KY_06_2026</t>
  </si>
  <si>
    <t xml:space="preserve">2025-08-24</t>
  </si>
  <si>
    <t xml:space="preserve">drop — seeking_other_office on 2025-02-10 says the same thing earlier and with the reason</t>
  </si>
  <si>
    <t xml:space="preserve">! KY-6 | Andy | Barr (retiring) | data-sort-value=63.0 | 63.0% R</t>
  </si>
  <si>
    <t xml:space="preserve">John James</t>
  </si>
  <si>
    <t xml:space="preserve">HOU_MI_10_2026</t>
  </si>
  <si>
    <t xml:space="preserve">drop — seeking_other_office on 2025-04-07 says the same thing earlier and with the reason</t>
  </si>
  <si>
    <t xml:space="preserve">! MI-10 | John | James | dab=Michigan politician (retiring) | data-sort-value=51.1 | 51.1% R</t>
  </si>
  <si>
    <t xml:space="preserve">Angie Craig</t>
  </si>
  <si>
    <t xml:space="preserve">HOU_MN_02_2026</t>
  </si>
  <si>
    <t xml:space="preserve">drop — seeking_other_office on 2025-04-29 says the same thing earlier and with the reason</t>
  </si>
  <si>
    <t xml:space="preserve">! MN-2 | Angie | Craig (retiring) | data-sort-value=-55.6 | 55.6% D</t>
  </si>
  <si>
    <t xml:space="preserve">Chris Pappas</t>
  </si>
  <si>
    <t xml:space="preserve">HOU_NH_01_2026</t>
  </si>
  <si>
    <t xml:space="preserve">drop — seeking_other_office on 2025-04-03 says the same thing earlier and with the reason</t>
  </si>
  <si>
    <t xml:space="preserve">! NH-1 | Chris | Pappas | dab=American politician (retiring) | data-sort-value=-54.0 | 54.0% D</t>
  </si>
  <si>
    <t xml:space="preserve">Randy Feenstra</t>
  </si>
  <si>
    <t xml:space="preserve">HOU_IA_04_2026</t>
  </si>
  <si>
    <t xml:space="preserve">2026-08-05</t>
  </si>
  <si>
    <t xml:space="preserve">drop — seeking_other_office on 2025-05-12 says the same thing earlier and with the reason</t>
  </si>
  <si>
    <t xml:space="preserve">#IA-4: Randy Feenstra is retiring (previously ran for governor of Iowa).</t>
  </si>
  <si>
    <t xml:space="preserve">2025-10-12</t>
  </si>
  <si>
    <t xml:space="preserve">not an event — the ratings page marking the seat open AFTER the incumbent announced. Useful only as a cross-check on incumbent_on_ballot_after</t>
  </si>
  <si>
    <t xml:space="preserve"># Arizona 1: Open seat</t>
  </si>
  <si>
    <t xml:space="preserve">HOU_CA_48_2026</t>
  </si>
  <si>
    <t xml:space="preserve">2026-03-07</t>
  </si>
  <si>
    <t xml:space="preserve"># California 48: Open seat</t>
  </si>
  <si>
    <t xml:space="preserve">HOU_FL_16_2026</t>
  </si>
  <si>
    <t xml:space="preserve">2026-07-22</t>
  </si>
  <si>
    <t xml:space="preserve">#Florida 16: Open seat</t>
  </si>
  <si>
    <t xml:space="preserve">2025-09-07</t>
  </si>
  <si>
    <t xml:space="preserve"># Iowa 2: Open seat</t>
  </si>
  <si>
    <t xml:space="preserve"># Kentucky 6: Open seat</t>
  </si>
  <si>
    <t xml:space="preserve">#Louisiana 6: Open seat</t>
  </si>
  <si>
    <t xml:space="preserve">HOU_ME_02_2026</t>
  </si>
  <si>
    <t xml:space="preserve">2025-11-07</t>
  </si>
  <si>
    <t xml:space="preserve"># Maine 2: Open seat</t>
  </si>
  <si>
    <t xml:space="preserve"># Michigan 10: Open seat</t>
  </si>
  <si>
    <t xml:space="preserve">HOU_MT_01_2026</t>
  </si>
  <si>
    <t xml:space="preserve"># Montana 1: Open seat</t>
  </si>
  <si>
    <t xml:space="preserve">HOU_NC_11_2026</t>
  </si>
  <si>
    <t xml:space="preserve">#North Carolina 11: Open seat</t>
  </si>
  <si>
    <t xml:space="preserve">HOU_NE_02_2026</t>
  </si>
  <si>
    <t xml:space="preserve"># Nebraska 2: Open seat</t>
  </si>
  <si>
    <t xml:space="preserve"># New Hampshire 1: Open seat</t>
  </si>
  <si>
    <t xml:space="preserve">HOU_NV_02_2026</t>
  </si>
  <si>
    <t xml:space="preserve">#Nevada 2: Open seat</t>
  </si>
  <si>
    <t xml:space="preserve">#New York 21: Open seat</t>
  </si>
  <si>
    <t xml:space="preserve">2026-02-10</t>
  </si>
  <si>
    <t xml:space="preserve"># South Carolina 1: Open seat</t>
  </si>
  <si>
    <t xml:space="preserve">HOU_TN_09_2026</t>
  </si>
  <si>
    <t xml:space="preserve">#Tennessee 9: Open seat</t>
  </si>
  <si>
    <t xml:space="preserve">#Texas 23: Open seat</t>
  </si>
  <si>
    <t xml:space="preserve">Now a decisions LOG rather than a list of asks. Seven of nine are closed. The two open ones are the Virginia backfill policy and a handful of court case names.</t>
  </si>
  <si>
    <t xml:space="preserve">item</t>
  </si>
  <si>
    <t xml:space="preserve">status</t>
  </si>
  <si>
    <t xml:space="preserve">decision / finding</t>
  </si>
  <si>
    <t xml:space="preserve">what changes because of it</t>
  </si>
  <si>
    <t xml:space="preserve">agreed?</t>
  </si>
  <si>
    <t xml:space="preserve">CLOSED</t>
  </si>
  <si>
    <t xml:space="preserve">what was decided</t>
  </si>
  <si>
    <t xml:space="preserve">what I did about it</t>
  </si>
  <si>
    <t xml:space="preserve">Double redraws</t>
  </si>
  <si>
    <t xml:space="preserve">No state redrew twice since 2024.</t>
  </si>
  <si>
    <t xml:space="preserve">The Cook capture's single pvi_prior / pvi pair is therefore a COMPLETE baseline for every changed state. The largest item on the original list closes with one sentence.</t>
  </si>
  <si>
    <t xml:space="preserve">Cook PVI publication</t>
  </si>
  <si>
    <t xml:space="preserve">prior and current PVI may sit in the public data and in models; we just do not display them.</t>
  </si>
  <si>
    <t xml:space="preserve">Needs a line in sources/2026.yaml under cook_pvi and a sentence on the methods page saying the values are Cook's, published on their own site, used as model input and not reproduced as a table.</t>
  </si>
  <si>
    <t xml:space="preserve">switched_district event type</t>
  </si>
  <si>
    <t xml:space="preserve">Not needed. An incumbent who moves districts is still an incumbent.</t>
  </si>
  <si>
    <t xml:space="preserve">Convention recorded in conditions/README.md: the member follows his seat, so TX-18 has an incumbent running and TX-09 becomes an open seat. Worth revisiting only if a candidate-quality term ever enters a model, since Al Green faces a large share of voters who have never voted for him.</t>
  </si>
  <si>
    <t xml:space="preserve">Delegates</t>
  </si>
  <si>
    <t xml:space="preserve">Out.</t>
  </si>
  <si>
    <t xml:space="preserve">Already implemented — the extractor refuses a race_id to DC and the territories and marks the row.</t>
  </si>
  <si>
    <t xml:space="preserve">At-large numbering</t>
  </si>
  <si>
    <t xml:space="preserve">00, not 01.</t>
  </si>
  <si>
    <t xml:space="preserve">Implemented in the extractor. Checked first: NO at-large House race_id exists anywhere in the parsed archive, so nothing had to be migrated and nothing will fail to join.</t>
  </si>
  <si>
    <t xml:space="preserve">Alabama, Tennessee, Louisiana dates</t>
  </si>
  <si>
    <t xml:space="preserve">DONE</t>
  </si>
  <si>
    <t xml:space="preserve">TN passed and signed 2026-05-07. LA passed 2026-05-29. AL passed conditionally and took effect 2026-06-02 when SCOTUS lifted the Milligan injunction.</t>
  </si>
  <si>
    <t xml:space="preserve">One residual: Roll Call dates Ivey's session call to 2026-05-01, the master chronology to 05-04. Three days apart. Pick one.</t>
  </si>
  <si>
    <t xml:space="preserve">Court case names</t>
  </si>
  <si>
    <t xml:space="preserve">MOSTLY DONE</t>
  </si>
  <si>
    <t xml:space="preserve">Louisiana v. Callais (No. 24-109); Allen v. Milligan (AL); League of Women Voters v. Utah State Legislature (UT); Felton v. WEC, Bothfeld v. WEC and WBLD v. WEC (WI).</t>
  </si>
  <si>
    <t xml:space="preserve">STILL OPEN: the Virginia case name, and Georgia, South Carolina and Missouri, for which no case name appears in any source I read.</t>
  </si>
  <si>
    <t xml:space="preserve">Virginia: backfill or not</t>
  </si>
  <si>
    <t xml:space="preserve">OPEN — my recommendation inside</t>
  </si>
  <si>
    <t xml:space="preserve">Run every date on the commission map, because no other map ever governed a ballot.</t>
  </si>
  <si>
    <t xml:space="preserve">A counterfactual IS possible — HB 29 (signed contingently 2026-02-20) contains the actual boundaries — but it would need a district-level baseline for a map that never took effect, which Cook will not have. Dave's Redistricting App would. Worth it only if you want the scenario beside the markets; not needed for the main line.</t>
  </si>
  <si>
    <t xml:space="preserve">OPEN</t>
  </si>
  <si>
    <t xml:space="preserve">Both Virginia and California needed a ballot step that the vocabulary cannot describe.</t>
  </si>
  <si>
    <t xml:space="preserve">Suggest adding `referendum_approved` and `referendum_rejected` to the event_type list in conditions/README.md. Used in sheet C already.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</si>
</sst>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45" hidden="false" customHeight="true" outlineLevel="0" collapsed="false">
      <c r="A3" s="2" t="s">
        <v>1</v>
      </c>
      <c r="B3" s="3" t="s">
        <v>2</v>
      </c>
    </row>
    <row r="4" customFormat="false" ht="45" hidden="false" customHeight="true" outlineLevel="0" collapsed="false">
      <c r="A4" s="2" t="s">
        <v>3</v>
      </c>
      <c r="B4" s="3" t="s">
        <v>4</v>
      </c>
    </row>
    <row r="5" customFormat="false" ht="45" hidden="false" customHeight="tru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/>
    </row>
    <row r="7" customFormat="false" ht="30" hidden="false" customHeight="true" outlineLevel="0" collapsed="false">
      <c r="A7" s="2" t="s">
        <v>7</v>
      </c>
      <c r="B7" s="3" t="s">
        <v>8</v>
      </c>
    </row>
    <row r="8" customFormat="false" ht="30" hidden="false" customHeight="true" outlineLevel="0" collapsed="false">
      <c r="A8" s="2" t="s">
        <v>9</v>
      </c>
      <c r="B8" s="3" t="s">
        <v>10</v>
      </c>
    </row>
    <row r="9" customFormat="false" ht="30" hidden="false" customHeight="true" outlineLevel="0" collapsed="false">
      <c r="A9" s="2" t="s">
        <v>11</v>
      </c>
      <c r="B9" s="3" t="s">
        <v>12</v>
      </c>
    </row>
    <row r="10" customFormat="false" ht="15" hidden="false" customHeight="true" outlineLevel="0" collapsed="false">
      <c r="A10" s="2" t="s">
        <v>13</v>
      </c>
      <c r="B10" s="3" t="s">
        <v>14</v>
      </c>
    </row>
    <row r="11" customFormat="false" ht="15" hidden="false" customHeight="true" outlineLevel="0" collapsed="false">
      <c r="A11" s="2" t="s">
        <v>15</v>
      </c>
      <c r="B11" s="3" t="s">
        <v>16</v>
      </c>
    </row>
    <row r="12" customFormat="false" ht="15" hidden="false" customHeight="false" outlineLevel="0" collapsed="false">
      <c r="A12" s="2"/>
    </row>
    <row r="13" customFormat="false" ht="45" hidden="false" customHeight="true" outlineLevel="0" collapsed="false">
      <c r="A13" s="2" t="s">
        <v>17</v>
      </c>
      <c r="B13" s="3" t="s">
        <v>18</v>
      </c>
    </row>
    <row r="14" customFormat="false" ht="105" hidden="false" customHeight="true" outlineLevel="0" collapsed="false">
      <c r="A14" s="2" t="s">
        <v>19</v>
      </c>
      <c r="B14" s="3" t="s">
        <v>20</v>
      </c>
    </row>
    <row r="15" customFormat="false" ht="45" hidden="false" customHeight="true" outlineLevel="0" collapsed="false">
      <c r="A15" s="2" t="s">
        <v>21</v>
      </c>
      <c r="B15" s="3" t="s">
        <v>22</v>
      </c>
    </row>
    <row r="17" customFormat="false" ht="15" hidden="false" customHeight="false" outlineLevel="0" collapsed="false">
      <c r="A17" s="4" t="s">
        <v>23</v>
      </c>
    </row>
    <row r="18" customFormat="false" ht="15" hidden="false" customHeight="false" outlineLevel="0" collapsed="false">
      <c r="A18" s="5" t="s">
        <v>7</v>
      </c>
      <c r="B18" s="5" t="str">
        <f aca="false">COUNTA('A · dates to verify'!L4:L13)&amp;" of 10 rows checked"</f>
        <v>10 of 10 rows checked</v>
      </c>
    </row>
    <row r="19" customFormat="false" ht="15" hidden="false" customHeight="false" outlineLevel="0" collapsed="false">
      <c r="A19" s="5" t="s">
        <v>9</v>
      </c>
      <c r="B19" s="5" t="str">
        <f aca="false">COUNTA('B · redistricting plans'!L4:L23)&amp;" of 20 rows checked"</f>
        <v>0 of 20 rows checked</v>
      </c>
    </row>
    <row r="20" customFormat="false" ht="15" hidden="false" customHeight="false" outlineLevel="0" collapsed="false">
      <c r="A20" s="5" t="s">
        <v>11</v>
      </c>
      <c r="B20" s="5" t="str">
        <f aca="false">COUNTA('C · redistricting events'!O4:O73)&amp;" of 70 rows checked"</f>
        <v>0 of 70 rows checked</v>
      </c>
    </row>
    <row r="21" customFormat="false" ht="15" hidden="false" customHeight="false" outlineLevel="0" collapsed="false">
      <c r="A21" s="5" t="s">
        <v>13</v>
      </c>
      <c r="B21" s="5" t="str">
        <f aca="false">COUNTA('D · confirm my drops'!G4:G40)&amp;" of 37 rows checked"</f>
        <v>0 of 37 rows checked</v>
      </c>
    </row>
    <row r="22" customFormat="false" ht="15" hidden="false" customHeight="false" outlineLevel="0" collapsed="false">
      <c r="A22" s="5" t="s">
        <v>24</v>
      </c>
      <c r="B22" s="5" t="str">
        <f aca="false">COUNTA('e · only you can get this'!f4:f12)&amp;" of 9 rows checked"</f>
        <v>1 of 9 rows checked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40"/>
    <col collapsed="false" customWidth="true" hidden="false" outlineLevel="0" max="6" min="6" style="0" width="50"/>
    <col collapsed="false" customWidth="true" hidden="false" outlineLevel="0" max="7" min="7" style="0" width="11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32"/>
    <col collapsed="false" customWidth="true" hidden="false" outlineLevel="0" max="11" min="11" style="0" width="34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6" t="s">
        <v>25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customFormat="false" ht="30" hidden="false" customHeight="true" outlineLevel="0" collapsed="false">
      <c r="A2" s="7" t="s">
        <v>26</v>
      </c>
      <c r="B2" s="7" t="s">
        <v>27</v>
      </c>
      <c r="C2" s="7" t="s">
        <v>28</v>
      </c>
      <c r="D2" s="7" t="s">
        <v>29</v>
      </c>
      <c r="E2" s="7" t="s">
        <v>30</v>
      </c>
      <c r="F2" s="7" t="s">
        <v>31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37</v>
      </c>
    </row>
    <row r="3" customFormat="false" ht="23.85" hidden="false" customHeight="false" outlineLevel="0" collapsed="false">
      <c r="A3" s="8" t="s">
        <v>38</v>
      </c>
      <c r="B3" s="8" t="s">
        <v>39</v>
      </c>
      <c r="C3" s="8" t="s">
        <v>40</v>
      </c>
      <c r="D3" s="8" t="s">
        <v>41</v>
      </c>
      <c r="E3" s="8" t="s">
        <v>42</v>
      </c>
      <c r="F3" s="8" t="s">
        <v>43</v>
      </c>
      <c r="G3" s="8" t="s">
        <v>44</v>
      </c>
      <c r="H3" s="8" t="s">
        <v>45</v>
      </c>
      <c r="I3" s="8" t="s">
        <v>46</v>
      </c>
      <c r="J3" s="8" t="s">
        <v>47</v>
      </c>
      <c r="K3" s="8" t="s">
        <v>48</v>
      </c>
      <c r="L3" s="8"/>
    </row>
    <row r="4" customFormat="false" ht="314.9" hidden="false" customHeight="false" outlineLevel="0" collapsed="false">
      <c r="A4" s="9" t="s">
        <v>49</v>
      </c>
      <c r="B4" s="9" t="s">
        <v>50</v>
      </c>
      <c r="C4" s="9" t="s">
        <v>40</v>
      </c>
      <c r="D4" s="9" t="s">
        <v>51</v>
      </c>
      <c r="E4" s="9" t="s">
        <v>52</v>
      </c>
      <c r="F4" s="9" t="s">
        <v>53</v>
      </c>
      <c r="G4" s="10" t="s">
        <v>44</v>
      </c>
      <c r="H4" s="10" t="s">
        <v>40</v>
      </c>
      <c r="I4" s="10" t="s">
        <v>54</v>
      </c>
      <c r="J4" s="10" t="s">
        <v>55</v>
      </c>
      <c r="K4" s="10" t="s">
        <v>56</v>
      </c>
      <c r="L4" s="10" t="s">
        <v>57</v>
      </c>
    </row>
    <row r="5" customFormat="false" ht="404.45" hidden="false" customHeight="false" outlineLevel="0" collapsed="false">
      <c r="A5" s="9" t="s">
        <v>58</v>
      </c>
      <c r="B5" s="9" t="s">
        <v>59</v>
      </c>
      <c r="C5" s="9" t="s">
        <v>45</v>
      </c>
      <c r="D5" s="9" t="s">
        <v>51</v>
      </c>
      <c r="E5" s="9" t="s">
        <v>60</v>
      </c>
      <c r="F5" s="9" t="s">
        <v>61</v>
      </c>
      <c r="G5" s="10" t="s">
        <v>44</v>
      </c>
      <c r="H5" s="10" t="s">
        <v>62</v>
      </c>
      <c r="I5" s="10" t="s">
        <v>63</v>
      </c>
      <c r="J5" s="10" t="s">
        <v>64</v>
      </c>
      <c r="K5" s="10" t="s">
        <v>65</v>
      </c>
      <c r="L5" s="10" t="s">
        <v>66</v>
      </c>
    </row>
    <row r="6" customFormat="false" ht="247.75" hidden="false" customHeight="false" outlineLevel="0" collapsed="false">
      <c r="A6" s="9" t="s">
        <v>67</v>
      </c>
      <c r="B6" s="9" t="s">
        <v>68</v>
      </c>
      <c r="C6" s="9" t="s">
        <v>40</v>
      </c>
      <c r="D6" s="9" t="s">
        <v>69</v>
      </c>
      <c r="E6" s="9" t="s">
        <v>70</v>
      </c>
      <c r="F6" s="9" t="s">
        <v>71</v>
      </c>
      <c r="G6" s="10" t="s">
        <v>44</v>
      </c>
      <c r="H6" s="10" t="s">
        <v>40</v>
      </c>
      <c r="I6" s="10" t="s">
        <v>72</v>
      </c>
      <c r="J6" s="10" t="s">
        <v>73</v>
      </c>
      <c r="K6" s="10" t="s">
        <v>74</v>
      </c>
      <c r="L6" s="10" t="s">
        <v>75</v>
      </c>
    </row>
    <row r="7" customFormat="false" ht="35.05" hidden="false" customHeight="false" outlineLevel="0" collapsed="false">
      <c r="A7" s="9" t="s">
        <v>76</v>
      </c>
      <c r="B7" s="9" t="s">
        <v>68</v>
      </c>
      <c r="C7" s="9" t="s">
        <v>40</v>
      </c>
      <c r="D7" s="9" t="s">
        <v>77</v>
      </c>
      <c r="E7" s="9" t="s">
        <v>70</v>
      </c>
      <c r="F7" s="9" t="s">
        <v>78</v>
      </c>
      <c r="G7" s="10" t="s">
        <v>79</v>
      </c>
      <c r="H7" s="10"/>
      <c r="I7" s="10"/>
      <c r="J7" s="10"/>
      <c r="K7" s="10" t="s">
        <v>80</v>
      </c>
      <c r="L7" s="10" t="s">
        <v>81</v>
      </c>
    </row>
    <row r="8" customFormat="false" ht="292.5" hidden="false" customHeight="false" outlineLevel="0" collapsed="false">
      <c r="A8" s="9" t="s">
        <v>82</v>
      </c>
      <c r="B8" s="9" t="s">
        <v>83</v>
      </c>
      <c r="C8" s="9" t="s">
        <v>40</v>
      </c>
      <c r="D8" s="9" t="s">
        <v>84</v>
      </c>
      <c r="E8" s="9" t="s">
        <v>85</v>
      </c>
      <c r="F8" s="9" t="s">
        <v>86</v>
      </c>
      <c r="G8" s="10" t="s">
        <v>79</v>
      </c>
      <c r="H8" s="10"/>
      <c r="I8" s="10"/>
      <c r="J8" s="10" t="s">
        <v>87</v>
      </c>
      <c r="K8" s="10" t="s">
        <v>88</v>
      </c>
      <c r="L8" s="10" t="s">
        <v>89</v>
      </c>
    </row>
    <row r="9" customFormat="false" ht="57.45" hidden="false" customHeight="false" outlineLevel="0" collapsed="false">
      <c r="A9" s="9" t="s">
        <v>90</v>
      </c>
      <c r="B9" s="9" t="s">
        <v>91</v>
      </c>
      <c r="C9" s="9" t="s">
        <v>40</v>
      </c>
      <c r="D9" s="9" t="s">
        <v>92</v>
      </c>
      <c r="E9" s="9" t="s">
        <v>93</v>
      </c>
      <c r="F9" s="9" t="s">
        <v>94</v>
      </c>
      <c r="G9" s="10" t="s">
        <v>44</v>
      </c>
      <c r="H9" s="10" t="s">
        <v>40</v>
      </c>
      <c r="I9" s="10" t="s">
        <v>92</v>
      </c>
      <c r="J9" s="10" t="s">
        <v>95</v>
      </c>
      <c r="K9" s="10" t="s">
        <v>96</v>
      </c>
      <c r="L9" s="10" t="s">
        <v>97</v>
      </c>
    </row>
    <row r="10" customFormat="false" ht="91" hidden="false" customHeight="false" outlineLevel="0" collapsed="false">
      <c r="A10" s="9" t="s">
        <v>98</v>
      </c>
      <c r="B10" s="9" t="s">
        <v>91</v>
      </c>
      <c r="C10" s="9" t="s">
        <v>40</v>
      </c>
      <c r="D10" s="9" t="s">
        <v>99</v>
      </c>
      <c r="E10" s="9" t="s">
        <v>93</v>
      </c>
      <c r="F10" s="9" t="s">
        <v>100</v>
      </c>
      <c r="G10" s="10" t="s">
        <v>79</v>
      </c>
      <c r="H10" s="10"/>
      <c r="I10" s="10"/>
      <c r="J10" s="10" t="s">
        <v>101</v>
      </c>
      <c r="K10" s="10" t="s">
        <v>102</v>
      </c>
      <c r="L10" s="10" t="s">
        <v>103</v>
      </c>
    </row>
    <row r="11" customFormat="false" ht="135.8" hidden="false" customHeight="false" outlineLevel="0" collapsed="false">
      <c r="A11" s="9" t="s">
        <v>104</v>
      </c>
      <c r="B11" s="9" t="s">
        <v>105</v>
      </c>
      <c r="C11" s="9" t="s">
        <v>40</v>
      </c>
      <c r="D11" s="9" t="s">
        <v>106</v>
      </c>
      <c r="E11" s="9" t="s">
        <v>85</v>
      </c>
      <c r="F11" s="9" t="s">
        <v>107</v>
      </c>
      <c r="G11" s="10" t="s">
        <v>79</v>
      </c>
      <c r="H11" s="10"/>
      <c r="I11" s="10"/>
      <c r="J11" s="10" t="s">
        <v>108</v>
      </c>
      <c r="K11" s="10" t="s">
        <v>109</v>
      </c>
      <c r="L11" s="10" t="s">
        <v>110</v>
      </c>
    </row>
    <row r="12" customFormat="false" ht="147" hidden="false" customHeight="false" outlineLevel="0" collapsed="false">
      <c r="A12" s="9" t="s">
        <v>111</v>
      </c>
      <c r="B12" s="9" t="s">
        <v>112</v>
      </c>
      <c r="C12" s="9" t="s">
        <v>40</v>
      </c>
      <c r="D12" s="9" t="s">
        <v>113</v>
      </c>
      <c r="E12" s="9" t="s">
        <v>114</v>
      </c>
      <c r="F12" s="9" t="s">
        <v>115</v>
      </c>
      <c r="G12" s="10" t="s">
        <v>44</v>
      </c>
      <c r="H12" s="10" t="s">
        <v>116</v>
      </c>
      <c r="I12" s="10" t="s">
        <v>117</v>
      </c>
      <c r="J12" s="10" t="s">
        <v>118</v>
      </c>
      <c r="K12" s="10" t="s">
        <v>119</v>
      </c>
      <c r="L12" s="10" t="s">
        <v>120</v>
      </c>
    </row>
    <row r="13" customFormat="false" ht="57.45" hidden="false" customHeight="false" outlineLevel="0" collapsed="false">
      <c r="A13" s="9" t="s">
        <v>111</v>
      </c>
      <c r="B13" s="9" t="s">
        <v>112</v>
      </c>
      <c r="C13" s="9" t="s">
        <v>116</v>
      </c>
      <c r="D13" s="9" t="s">
        <v>121</v>
      </c>
      <c r="E13" s="9" t="s">
        <v>85</v>
      </c>
      <c r="F13" s="9" t="s">
        <v>122</v>
      </c>
      <c r="G13" s="10" t="s">
        <v>79</v>
      </c>
      <c r="H13" s="10"/>
      <c r="I13" s="10"/>
      <c r="J13" s="10"/>
      <c r="K13" s="10" t="s">
        <v>123</v>
      </c>
      <c r="L13" s="10" t="s">
        <v>124</v>
      </c>
    </row>
  </sheetData>
  <autoFilter ref="A2:L13"/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34"/>
    <col collapsed="false" customWidth="true" hidden="false" outlineLevel="0" max="10" min="10" style="0" width="30"/>
    <col collapsed="false" customWidth="true" hidden="false" outlineLevel="0" max="11" min="11" style="0" width="52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6" t="s">
        <v>125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customFormat="false" ht="30" hidden="false" customHeight="true" outlineLevel="0" collapsed="false">
      <c r="A2" s="7" t="s">
        <v>126</v>
      </c>
      <c r="B2" s="7" t="s">
        <v>127</v>
      </c>
      <c r="C2" s="7" t="s">
        <v>128</v>
      </c>
      <c r="D2" s="7" t="s">
        <v>129</v>
      </c>
      <c r="E2" s="7" t="s">
        <v>130</v>
      </c>
      <c r="F2" s="7" t="s">
        <v>131</v>
      </c>
      <c r="G2" s="7" t="s">
        <v>132</v>
      </c>
      <c r="H2" s="7" t="s">
        <v>133</v>
      </c>
      <c r="I2" s="7" t="s">
        <v>134</v>
      </c>
      <c r="J2" s="7" t="s">
        <v>135</v>
      </c>
      <c r="K2" s="7" t="s">
        <v>36</v>
      </c>
      <c r="L2" s="7" t="s">
        <v>136</v>
      </c>
    </row>
    <row r="3" customFormat="false" ht="46.25" hidden="false" customHeight="false" outlineLevel="0" collapsed="false">
      <c r="A3" s="8" t="s">
        <v>38</v>
      </c>
      <c r="B3" s="8" t="s">
        <v>137</v>
      </c>
      <c r="C3" s="8" t="s">
        <v>138</v>
      </c>
      <c r="D3" s="8" t="s">
        <v>139</v>
      </c>
      <c r="E3" s="8" t="s">
        <v>140</v>
      </c>
      <c r="F3" s="8" t="s">
        <v>141</v>
      </c>
      <c r="G3" s="8" t="n">
        <v>12</v>
      </c>
      <c r="H3" s="8" t="s">
        <v>142</v>
      </c>
      <c r="I3" s="8" t="s">
        <v>143</v>
      </c>
      <c r="J3" s="8" t="s">
        <v>144</v>
      </c>
      <c r="K3" s="8" t="s">
        <v>145</v>
      </c>
      <c r="L3" s="8" t="s">
        <v>146</v>
      </c>
    </row>
    <row r="4" customFormat="false" ht="35.05" hidden="false" customHeight="false" outlineLevel="0" collapsed="false">
      <c r="A4" s="9" t="s">
        <v>147</v>
      </c>
      <c r="B4" s="9" t="s">
        <v>148</v>
      </c>
      <c r="C4" s="9" t="s">
        <v>149</v>
      </c>
      <c r="D4" s="10" t="s">
        <v>150</v>
      </c>
      <c r="E4" s="10" t="s">
        <v>151</v>
      </c>
      <c r="F4" s="10" t="s">
        <v>141</v>
      </c>
      <c r="G4" s="10" t="n">
        <v>29</v>
      </c>
      <c r="H4" s="10" t="s">
        <v>152</v>
      </c>
      <c r="I4" s="10" t="s">
        <v>153</v>
      </c>
      <c r="J4" s="10" t="s">
        <v>154</v>
      </c>
      <c r="K4" s="10" t="s">
        <v>155</v>
      </c>
      <c r="L4" s="10"/>
    </row>
    <row r="5" customFormat="false" ht="35.05" hidden="false" customHeight="false" outlineLevel="0" collapsed="false">
      <c r="A5" s="9" t="s">
        <v>156</v>
      </c>
      <c r="B5" s="9" t="s">
        <v>157</v>
      </c>
      <c r="C5" s="9" t="s">
        <v>158</v>
      </c>
      <c r="D5" s="10" t="s">
        <v>159</v>
      </c>
      <c r="E5" s="10" t="s">
        <v>160</v>
      </c>
      <c r="F5" s="10" t="s">
        <v>161</v>
      </c>
      <c r="G5" s="10" t="n">
        <v>39</v>
      </c>
      <c r="H5" s="10" t="s">
        <v>162</v>
      </c>
      <c r="I5" s="10" t="s">
        <v>153</v>
      </c>
      <c r="J5" s="10" t="s">
        <v>154</v>
      </c>
      <c r="K5" s="10" t="s">
        <v>163</v>
      </c>
      <c r="L5" s="10"/>
    </row>
    <row r="6" customFormat="false" ht="46.25" hidden="false" customHeight="false" outlineLevel="0" collapsed="false">
      <c r="A6" s="9" t="s">
        <v>164</v>
      </c>
      <c r="B6" s="9" t="s">
        <v>165</v>
      </c>
      <c r="C6" s="9" t="s">
        <v>166</v>
      </c>
      <c r="D6" s="10" t="s">
        <v>167</v>
      </c>
      <c r="E6" s="10" t="s">
        <v>168</v>
      </c>
      <c r="F6" s="10" t="s">
        <v>141</v>
      </c>
      <c r="G6" s="10" t="n">
        <v>5</v>
      </c>
      <c r="H6" s="10" t="s">
        <v>169</v>
      </c>
      <c r="I6" s="10" t="s">
        <v>170</v>
      </c>
      <c r="J6" s="10" t="s">
        <v>154</v>
      </c>
      <c r="K6" s="10" t="s">
        <v>171</v>
      </c>
      <c r="L6" s="10"/>
    </row>
    <row r="7" customFormat="false" ht="35.05" hidden="false" customHeight="false" outlineLevel="0" collapsed="false">
      <c r="A7" s="9" t="s">
        <v>172</v>
      </c>
      <c r="B7" s="9" t="s">
        <v>173</v>
      </c>
      <c r="C7" s="9" t="s">
        <v>138</v>
      </c>
      <c r="D7" s="10" t="s">
        <v>174</v>
      </c>
      <c r="E7" s="10" t="s">
        <v>175</v>
      </c>
      <c r="F7" s="10" t="s">
        <v>176</v>
      </c>
      <c r="G7" s="10" t="n">
        <v>12</v>
      </c>
      <c r="H7" s="10"/>
      <c r="I7" s="10" t="s">
        <v>177</v>
      </c>
      <c r="J7" s="10" t="s">
        <v>154</v>
      </c>
      <c r="K7" s="10" t="s">
        <v>178</v>
      </c>
      <c r="L7" s="10"/>
    </row>
    <row r="8" customFormat="false" ht="68.65" hidden="false" customHeight="false" outlineLevel="0" collapsed="false">
      <c r="A8" s="9" t="s">
        <v>179</v>
      </c>
      <c r="B8" s="9" t="s">
        <v>180</v>
      </c>
      <c r="C8" s="9" t="s">
        <v>181</v>
      </c>
      <c r="D8" s="10" t="s">
        <v>182</v>
      </c>
      <c r="E8" s="10" t="s">
        <v>183</v>
      </c>
      <c r="F8" s="10" t="s">
        <v>184</v>
      </c>
      <c r="G8" s="10" t="n">
        <v>4</v>
      </c>
      <c r="H8" s="10" t="s">
        <v>185</v>
      </c>
      <c r="I8" s="10" t="s">
        <v>170</v>
      </c>
      <c r="J8" s="10" t="s">
        <v>154</v>
      </c>
      <c r="K8" s="10" t="s">
        <v>186</v>
      </c>
      <c r="L8" s="10"/>
    </row>
    <row r="9" customFormat="false" ht="35.05" hidden="false" customHeight="false" outlineLevel="0" collapsed="false">
      <c r="A9" s="9" t="s">
        <v>187</v>
      </c>
      <c r="B9" s="9" t="s">
        <v>188</v>
      </c>
      <c r="C9" s="9" t="s">
        <v>189</v>
      </c>
      <c r="D9" s="10" t="s">
        <v>190</v>
      </c>
      <c r="E9" s="10" t="s">
        <v>191</v>
      </c>
      <c r="F9" s="10" t="s">
        <v>141</v>
      </c>
      <c r="G9" s="10" t="n">
        <v>2</v>
      </c>
      <c r="H9" s="10" t="s">
        <v>169</v>
      </c>
      <c r="I9" s="10" t="s">
        <v>170</v>
      </c>
      <c r="J9" s="10" t="s">
        <v>154</v>
      </c>
      <c r="K9" s="10" t="s">
        <v>192</v>
      </c>
      <c r="L9" s="10"/>
    </row>
    <row r="10" customFormat="false" ht="35.05" hidden="false" customHeight="false" outlineLevel="0" collapsed="false">
      <c r="A10" s="9" t="s">
        <v>193</v>
      </c>
      <c r="B10" s="9" t="s">
        <v>194</v>
      </c>
      <c r="C10" s="9" t="s">
        <v>195</v>
      </c>
      <c r="D10" s="10" t="s">
        <v>196</v>
      </c>
      <c r="E10" s="10" t="s">
        <v>197</v>
      </c>
      <c r="F10" s="10" t="s">
        <v>141</v>
      </c>
      <c r="G10" s="10" t="n">
        <v>16</v>
      </c>
      <c r="H10" s="10" t="s">
        <v>198</v>
      </c>
      <c r="I10" s="10" t="s">
        <v>170</v>
      </c>
      <c r="J10" s="10" t="s">
        <v>154</v>
      </c>
      <c r="K10" s="10" t="s">
        <v>199</v>
      </c>
      <c r="L10" s="10"/>
    </row>
    <row r="11" customFormat="false" ht="35.05" hidden="false" customHeight="false" outlineLevel="0" collapsed="false">
      <c r="A11" s="9" t="s">
        <v>200</v>
      </c>
      <c r="B11" s="9" t="s">
        <v>201</v>
      </c>
      <c r="C11" s="9" t="s">
        <v>202</v>
      </c>
      <c r="D11" s="10" t="s">
        <v>203</v>
      </c>
      <c r="E11" s="10" t="s">
        <v>204</v>
      </c>
      <c r="F11" s="10" t="s">
        <v>141</v>
      </c>
      <c r="G11" s="10" t="n">
        <v>6</v>
      </c>
      <c r="H11" s="10" t="s">
        <v>205</v>
      </c>
      <c r="I11" s="10" t="s">
        <v>170</v>
      </c>
      <c r="J11" s="10" t="s">
        <v>154</v>
      </c>
      <c r="K11" s="10" t="s">
        <v>206</v>
      </c>
      <c r="L11" s="10"/>
    </row>
    <row r="12" customFormat="false" ht="35.05" hidden="false" customHeight="false" outlineLevel="0" collapsed="false">
      <c r="A12" s="9" t="s">
        <v>207</v>
      </c>
      <c r="B12" s="9" t="s">
        <v>188</v>
      </c>
      <c r="C12" s="9" t="s">
        <v>208</v>
      </c>
      <c r="D12" s="10" t="s">
        <v>209</v>
      </c>
      <c r="E12" s="10" t="s">
        <v>197</v>
      </c>
      <c r="F12" s="10" t="s">
        <v>141</v>
      </c>
      <c r="G12" s="10" t="n">
        <v>6</v>
      </c>
      <c r="H12" s="10" t="s">
        <v>205</v>
      </c>
      <c r="I12" s="10" t="s">
        <v>170</v>
      </c>
      <c r="J12" s="10" t="s">
        <v>154</v>
      </c>
      <c r="K12" s="10" t="s">
        <v>210</v>
      </c>
      <c r="L12" s="10"/>
    </row>
    <row r="13" customFormat="false" ht="46.25" hidden="false" customHeight="false" outlineLevel="0" collapsed="false">
      <c r="A13" s="9" t="s">
        <v>211</v>
      </c>
      <c r="B13" s="9" t="s">
        <v>188</v>
      </c>
      <c r="C13" s="9" t="s">
        <v>212</v>
      </c>
      <c r="D13" s="10" t="s">
        <v>213</v>
      </c>
      <c r="E13" s="10" t="s">
        <v>214</v>
      </c>
      <c r="F13" s="10" t="s">
        <v>141</v>
      </c>
      <c r="G13" s="10" t="n">
        <v>4</v>
      </c>
      <c r="H13" s="10" t="s">
        <v>205</v>
      </c>
      <c r="I13" s="10" t="s">
        <v>170</v>
      </c>
      <c r="J13" s="10" t="s">
        <v>154</v>
      </c>
      <c r="K13" s="10" t="s">
        <v>215</v>
      </c>
      <c r="L13" s="10"/>
    </row>
    <row r="14" customFormat="false" ht="79.85" hidden="false" customHeight="false" outlineLevel="0" collapsed="false">
      <c r="A14" s="9" t="s">
        <v>216</v>
      </c>
      <c r="B14" s="9" t="s">
        <v>217</v>
      </c>
      <c r="C14" s="9" t="s">
        <v>218</v>
      </c>
      <c r="D14" s="10" t="s">
        <v>219</v>
      </c>
      <c r="E14" s="10" t="s">
        <v>220</v>
      </c>
      <c r="F14" s="10" t="s">
        <v>161</v>
      </c>
      <c r="G14" s="10"/>
      <c r="H14" s="10" t="s">
        <v>221</v>
      </c>
      <c r="I14" s="10" t="s">
        <v>222</v>
      </c>
      <c r="J14" s="10"/>
      <c r="K14" s="10" t="s">
        <v>223</v>
      </c>
      <c r="L14" s="10"/>
    </row>
    <row r="15" customFormat="false" ht="35.05" hidden="false" customHeight="false" outlineLevel="0" collapsed="false">
      <c r="A15" s="9" t="s">
        <v>193</v>
      </c>
      <c r="B15" s="9" t="s">
        <v>194</v>
      </c>
      <c r="C15" s="9" t="s">
        <v>195</v>
      </c>
      <c r="D15" s="10" t="s">
        <v>224</v>
      </c>
      <c r="E15" s="10" t="s">
        <v>225</v>
      </c>
      <c r="F15" s="10" t="s">
        <v>141</v>
      </c>
      <c r="G15" s="10" t="n">
        <v>16</v>
      </c>
      <c r="H15" s="10"/>
      <c r="I15" s="10" t="s">
        <v>153</v>
      </c>
      <c r="J15" s="10" t="s">
        <v>154</v>
      </c>
      <c r="K15" s="10" t="s">
        <v>226</v>
      </c>
      <c r="L15" s="10"/>
    </row>
    <row r="16" customFormat="false" ht="57.45" hidden="false" customHeight="false" outlineLevel="0" collapsed="false">
      <c r="A16" s="9" t="s">
        <v>227</v>
      </c>
      <c r="B16" s="9" t="s">
        <v>228</v>
      </c>
      <c r="C16" s="9" t="s">
        <v>218</v>
      </c>
      <c r="D16" s="10" t="s">
        <v>229</v>
      </c>
      <c r="E16" s="10" t="s">
        <v>230</v>
      </c>
      <c r="F16" s="10" t="s">
        <v>141</v>
      </c>
      <c r="G16" s="10"/>
      <c r="H16" s="10" t="s">
        <v>231</v>
      </c>
      <c r="I16" s="10" t="s">
        <v>170</v>
      </c>
      <c r="J16" s="10"/>
      <c r="K16" s="10" t="s">
        <v>232</v>
      </c>
      <c r="L16" s="10"/>
    </row>
    <row r="17" customFormat="false" ht="46.25" hidden="false" customHeight="false" outlineLevel="0" collapsed="false">
      <c r="A17" s="9" t="s">
        <v>233</v>
      </c>
      <c r="B17" s="9" t="s">
        <v>188</v>
      </c>
      <c r="C17" s="9" t="s">
        <v>218</v>
      </c>
      <c r="D17" s="10" t="s">
        <v>234</v>
      </c>
      <c r="E17" s="10" t="s">
        <v>235</v>
      </c>
      <c r="F17" s="10" t="s">
        <v>236</v>
      </c>
      <c r="G17" s="10"/>
      <c r="H17" s="10" t="s">
        <v>237</v>
      </c>
      <c r="I17" s="10" t="s">
        <v>170</v>
      </c>
      <c r="J17" s="10"/>
      <c r="K17" s="10" t="s">
        <v>238</v>
      </c>
      <c r="L17" s="10"/>
    </row>
    <row r="18" customFormat="false" ht="35.05" hidden="false" customHeight="false" outlineLevel="0" collapsed="false">
      <c r="A18" s="9" t="s">
        <v>239</v>
      </c>
      <c r="B18" s="9" t="s">
        <v>188</v>
      </c>
      <c r="C18" s="9" t="s">
        <v>218</v>
      </c>
      <c r="D18" s="10" t="s">
        <v>240</v>
      </c>
      <c r="E18" s="10"/>
      <c r="F18" s="10" t="s">
        <v>141</v>
      </c>
      <c r="G18" s="10"/>
      <c r="H18" s="10"/>
      <c r="I18" s="10" t="s">
        <v>170</v>
      </c>
      <c r="J18" s="10"/>
      <c r="K18" s="10" t="s">
        <v>241</v>
      </c>
      <c r="L18" s="10"/>
    </row>
    <row r="19" customFormat="false" ht="35.05" hidden="false" customHeight="false" outlineLevel="0" collapsed="false">
      <c r="A19" s="9" t="s">
        <v>242</v>
      </c>
      <c r="B19" s="9" t="s">
        <v>243</v>
      </c>
      <c r="C19" s="9" t="s">
        <v>218</v>
      </c>
      <c r="D19" s="10" t="s">
        <v>244</v>
      </c>
      <c r="E19" s="10"/>
      <c r="F19" s="10" t="s">
        <v>141</v>
      </c>
      <c r="G19" s="10"/>
      <c r="H19" s="10"/>
      <c r="I19" s="10" t="s">
        <v>170</v>
      </c>
      <c r="J19" s="10"/>
      <c r="K19" s="10" t="s">
        <v>245</v>
      </c>
      <c r="L19" s="10"/>
    </row>
    <row r="20" customFormat="false" ht="35.05" hidden="false" customHeight="false" outlineLevel="0" collapsed="false">
      <c r="A20" s="9" t="s">
        <v>246</v>
      </c>
      <c r="B20" s="9" t="s">
        <v>247</v>
      </c>
      <c r="C20" s="9" t="s">
        <v>218</v>
      </c>
      <c r="D20" s="10" t="s">
        <v>248</v>
      </c>
      <c r="E20" s="10"/>
      <c r="F20" s="10" t="s">
        <v>184</v>
      </c>
      <c r="G20" s="10"/>
      <c r="H20" s="10"/>
      <c r="I20" s="10" t="s">
        <v>170</v>
      </c>
      <c r="J20" s="10"/>
      <c r="K20" s="10" t="s">
        <v>249</v>
      </c>
      <c r="L20" s="10"/>
    </row>
    <row r="21" customFormat="false" ht="35.05" hidden="false" customHeight="false" outlineLevel="0" collapsed="false">
      <c r="A21" s="9" t="s">
        <v>250</v>
      </c>
      <c r="B21" s="9" t="s">
        <v>251</v>
      </c>
      <c r="C21" s="9" t="s">
        <v>218</v>
      </c>
      <c r="D21" s="10" t="s">
        <v>252</v>
      </c>
      <c r="E21" s="10"/>
      <c r="F21" s="10" t="s">
        <v>253</v>
      </c>
      <c r="G21" s="10"/>
      <c r="H21" s="10"/>
      <c r="I21" s="10" t="s">
        <v>170</v>
      </c>
      <c r="J21" s="10"/>
      <c r="K21" s="10" t="s">
        <v>254</v>
      </c>
      <c r="L21" s="10"/>
    </row>
    <row r="22" customFormat="false" ht="35.05" hidden="false" customHeight="false" outlineLevel="0" collapsed="false">
      <c r="A22" s="9" t="s">
        <v>255</v>
      </c>
      <c r="B22" s="9" t="s">
        <v>256</v>
      </c>
      <c r="C22" s="9" t="s">
        <v>218</v>
      </c>
      <c r="D22" s="10" t="s">
        <v>257</v>
      </c>
      <c r="E22" s="10"/>
      <c r="F22" s="10"/>
      <c r="G22" s="10"/>
      <c r="H22" s="10"/>
      <c r="I22" s="10" t="s">
        <v>170</v>
      </c>
      <c r="J22" s="10"/>
      <c r="K22" s="10" t="s">
        <v>258</v>
      </c>
      <c r="L22" s="10"/>
    </row>
    <row r="23" customFormat="false" ht="23.85" hidden="false" customHeight="false" outlineLevel="0" collapsed="false">
      <c r="A23" s="9" t="s">
        <v>259</v>
      </c>
      <c r="B23" s="9" t="s">
        <v>260</v>
      </c>
      <c r="C23" s="9" t="s">
        <v>218</v>
      </c>
      <c r="D23" s="10" t="s">
        <v>261</v>
      </c>
      <c r="E23" s="10"/>
      <c r="F23" s="10"/>
      <c r="G23" s="10"/>
      <c r="H23" s="10"/>
      <c r="I23" s="10" t="s">
        <v>177</v>
      </c>
      <c r="J23" s="10"/>
      <c r="K23" s="10" t="s">
        <v>262</v>
      </c>
      <c r="L23" s="10"/>
    </row>
  </sheetData>
  <autoFilter ref="A2:L23"/>
  <mergeCells count="1">
    <mergeCell ref="A1:L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6" min="4" style="0" width="30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2" min="12" style="0" width="26"/>
    <col collapsed="false" customWidth="true" hidden="false" outlineLevel="0" max="13" min="13" style="0" width="34"/>
    <col collapsed="false" customWidth="true" hidden="false" outlineLevel="0" max="14" min="14" style="0" width="54"/>
    <col collapsed="false" customWidth="true" hidden="false" outlineLevel="0" max="15" min="15" style="0" width="10"/>
  </cols>
  <sheetData>
    <row r="1" customFormat="false" ht="30" hidden="false" customHeight="true" outlineLevel="0" collapsed="false">
      <c r="A1" s="6" t="s">
        <v>263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customFormat="false" ht="30" hidden="false" customHeight="true" outlineLevel="0" collapsed="false">
      <c r="A2" s="7" t="s">
        <v>126</v>
      </c>
      <c r="B2" s="7" t="s">
        <v>264</v>
      </c>
      <c r="C2" s="7" t="s">
        <v>265</v>
      </c>
      <c r="D2" s="7" t="s">
        <v>266</v>
      </c>
      <c r="E2" s="7" t="s">
        <v>267</v>
      </c>
      <c r="F2" s="7" t="s">
        <v>268</v>
      </c>
      <c r="G2" s="7" t="s">
        <v>129</v>
      </c>
      <c r="H2" s="7" t="s">
        <v>269</v>
      </c>
      <c r="I2" s="7" t="s">
        <v>270</v>
      </c>
      <c r="J2" s="7" t="s">
        <v>271</v>
      </c>
      <c r="K2" s="7" t="s">
        <v>34</v>
      </c>
      <c r="L2" s="7" t="s">
        <v>272</v>
      </c>
      <c r="M2" s="7" t="s">
        <v>35</v>
      </c>
      <c r="N2" s="7" t="s">
        <v>36</v>
      </c>
      <c r="O2" s="7" t="s">
        <v>136</v>
      </c>
    </row>
    <row r="3" customFormat="false" ht="46.25" hidden="false" customHeight="false" outlineLevel="0" collapsed="false">
      <c r="A3" s="8" t="s">
        <v>38</v>
      </c>
      <c r="B3" s="8" t="s">
        <v>273</v>
      </c>
      <c r="C3" s="8" t="s">
        <v>274</v>
      </c>
      <c r="D3" s="8" t="s">
        <v>275</v>
      </c>
      <c r="E3" s="8" t="s">
        <v>276</v>
      </c>
      <c r="F3" s="8" t="s">
        <v>277</v>
      </c>
      <c r="G3" s="8" t="s">
        <v>139</v>
      </c>
      <c r="H3" s="8" t="s">
        <v>278</v>
      </c>
      <c r="I3" s="8" t="s">
        <v>279</v>
      </c>
      <c r="J3" s="8" t="s">
        <v>280</v>
      </c>
      <c r="K3" s="8" t="s">
        <v>281</v>
      </c>
      <c r="L3" s="8" t="s">
        <v>282</v>
      </c>
      <c r="M3" s="8" t="s">
        <v>283</v>
      </c>
      <c r="N3" s="8" t="s">
        <v>284</v>
      </c>
      <c r="O3" s="8" t="s">
        <v>146</v>
      </c>
    </row>
    <row r="4" customFormat="false" ht="35.05" hidden="false" customHeight="false" outlineLevel="0" collapsed="false">
      <c r="A4" s="9" t="s">
        <v>147</v>
      </c>
      <c r="B4" s="9" t="s">
        <v>285</v>
      </c>
      <c r="C4" s="9" t="s">
        <v>286</v>
      </c>
      <c r="D4" s="9"/>
      <c r="E4" s="9"/>
      <c r="F4" s="9" t="s">
        <v>153</v>
      </c>
      <c r="G4" s="10" t="s">
        <v>150</v>
      </c>
      <c r="H4" s="10" t="s">
        <v>287</v>
      </c>
      <c r="I4" s="10" t="s">
        <v>288</v>
      </c>
      <c r="J4" s="10" t="s">
        <v>280</v>
      </c>
      <c r="K4" s="10" t="s">
        <v>285</v>
      </c>
      <c r="L4" s="10"/>
      <c r="M4" s="10" t="s">
        <v>153</v>
      </c>
      <c r="N4" s="10" t="s">
        <v>289</v>
      </c>
      <c r="O4" s="10"/>
    </row>
    <row r="5" customFormat="false" ht="15" hidden="false" customHeight="false" outlineLevel="0" collapsed="false">
      <c r="A5" s="9" t="s">
        <v>259</v>
      </c>
      <c r="B5" s="9" t="s">
        <v>72</v>
      </c>
      <c r="C5" s="9" t="s">
        <v>290</v>
      </c>
      <c r="D5" s="9"/>
      <c r="E5" s="9" t="s">
        <v>291</v>
      </c>
      <c r="F5" s="9" t="s">
        <v>277</v>
      </c>
      <c r="G5" s="10"/>
      <c r="H5" s="10"/>
      <c r="I5" s="10"/>
      <c r="J5" s="10"/>
      <c r="K5" s="10"/>
      <c r="L5" s="10"/>
      <c r="M5" s="10"/>
      <c r="N5" s="10" t="s">
        <v>292</v>
      </c>
      <c r="O5" s="10"/>
    </row>
    <row r="6" customFormat="false" ht="15" hidden="false" customHeight="false" outlineLevel="0" collapsed="false">
      <c r="A6" s="9" t="s">
        <v>193</v>
      </c>
      <c r="B6" s="9" t="s">
        <v>72</v>
      </c>
      <c r="C6" s="9" t="s">
        <v>290</v>
      </c>
      <c r="D6" s="9"/>
      <c r="E6" s="9" t="s">
        <v>291</v>
      </c>
      <c r="F6" s="9" t="s">
        <v>277</v>
      </c>
      <c r="G6" s="10"/>
      <c r="H6" s="10"/>
      <c r="I6" s="10"/>
      <c r="J6" s="10"/>
      <c r="K6" s="10"/>
      <c r="L6" s="10"/>
      <c r="M6" s="10"/>
      <c r="N6" s="10" t="s">
        <v>292</v>
      </c>
      <c r="O6" s="10"/>
    </row>
    <row r="7" customFormat="false" ht="15" hidden="false" customHeight="false" outlineLevel="0" collapsed="false">
      <c r="A7" s="9" t="s">
        <v>255</v>
      </c>
      <c r="B7" s="9" t="s">
        <v>72</v>
      </c>
      <c r="C7" s="9" t="s">
        <v>290</v>
      </c>
      <c r="D7" s="9"/>
      <c r="E7" s="9" t="s">
        <v>276</v>
      </c>
      <c r="F7" s="9" t="s">
        <v>277</v>
      </c>
      <c r="G7" s="10"/>
      <c r="H7" s="10"/>
      <c r="I7" s="10"/>
      <c r="J7" s="10"/>
      <c r="K7" s="10"/>
      <c r="L7" s="10"/>
      <c r="M7" s="10"/>
      <c r="N7" s="10" t="s">
        <v>292</v>
      </c>
      <c r="O7" s="10"/>
    </row>
    <row r="8" customFormat="false" ht="15" hidden="false" customHeight="false" outlineLevel="0" collapsed="false">
      <c r="A8" s="9" t="s">
        <v>200</v>
      </c>
      <c r="B8" s="9" t="s">
        <v>72</v>
      </c>
      <c r="C8" s="9" t="s">
        <v>290</v>
      </c>
      <c r="D8" s="9"/>
      <c r="E8" s="9" t="s">
        <v>291</v>
      </c>
      <c r="F8" s="9" t="s">
        <v>277</v>
      </c>
      <c r="G8" s="10"/>
      <c r="H8" s="10"/>
      <c r="I8" s="10"/>
      <c r="J8" s="10"/>
      <c r="K8" s="10"/>
      <c r="L8" s="10"/>
      <c r="M8" s="10"/>
      <c r="N8" s="10" t="s">
        <v>292</v>
      </c>
      <c r="O8" s="10"/>
    </row>
    <row r="9" customFormat="false" ht="15" hidden="false" customHeight="false" outlineLevel="0" collapsed="false">
      <c r="A9" s="9" t="s">
        <v>147</v>
      </c>
      <c r="B9" s="9" t="s">
        <v>72</v>
      </c>
      <c r="C9" s="9" t="s">
        <v>290</v>
      </c>
      <c r="D9" s="9"/>
      <c r="E9" s="9" t="s">
        <v>275</v>
      </c>
      <c r="F9" s="9" t="s">
        <v>277</v>
      </c>
      <c r="G9" s="10"/>
      <c r="H9" s="10"/>
      <c r="I9" s="10"/>
      <c r="J9" s="10"/>
      <c r="K9" s="10"/>
      <c r="L9" s="10"/>
      <c r="M9" s="10"/>
      <c r="N9" s="10" t="s">
        <v>292</v>
      </c>
      <c r="O9" s="10"/>
    </row>
    <row r="10" customFormat="false" ht="15" hidden="false" customHeight="false" outlineLevel="0" collapsed="false">
      <c r="A10" s="9" t="s">
        <v>179</v>
      </c>
      <c r="B10" s="9" t="s">
        <v>72</v>
      </c>
      <c r="C10" s="9" t="s">
        <v>290</v>
      </c>
      <c r="D10" s="9"/>
      <c r="E10" s="9" t="s">
        <v>276</v>
      </c>
      <c r="F10" s="9" t="s">
        <v>277</v>
      </c>
      <c r="G10" s="10"/>
      <c r="H10" s="10"/>
      <c r="I10" s="10"/>
      <c r="J10" s="10"/>
      <c r="K10" s="10"/>
      <c r="L10" s="10"/>
      <c r="M10" s="10"/>
      <c r="N10" s="10" t="s">
        <v>292</v>
      </c>
      <c r="O10" s="10"/>
    </row>
    <row r="11" customFormat="false" ht="15" hidden="false" customHeight="false" outlineLevel="0" collapsed="false">
      <c r="A11" s="9" t="s">
        <v>250</v>
      </c>
      <c r="B11" s="9" t="s">
        <v>72</v>
      </c>
      <c r="C11" s="9" t="s">
        <v>290</v>
      </c>
      <c r="D11" s="9"/>
      <c r="E11" s="9" t="s">
        <v>291</v>
      </c>
      <c r="F11" s="9" t="s">
        <v>277</v>
      </c>
      <c r="G11" s="10"/>
      <c r="H11" s="10"/>
      <c r="I11" s="10"/>
      <c r="J11" s="10"/>
      <c r="K11" s="10"/>
      <c r="L11" s="10"/>
      <c r="M11" s="10"/>
      <c r="N11" s="10" t="s">
        <v>292</v>
      </c>
      <c r="O11" s="10"/>
    </row>
    <row r="12" customFormat="false" ht="15" hidden="false" customHeight="false" outlineLevel="0" collapsed="false">
      <c r="A12" s="9" t="s">
        <v>156</v>
      </c>
      <c r="B12" s="9" t="s">
        <v>293</v>
      </c>
      <c r="C12" s="9" t="s">
        <v>290</v>
      </c>
      <c r="D12" s="9"/>
      <c r="E12" s="9" t="s">
        <v>275</v>
      </c>
      <c r="F12" s="9" t="s">
        <v>277</v>
      </c>
      <c r="G12" s="10"/>
      <c r="H12" s="10"/>
      <c r="I12" s="10"/>
      <c r="J12" s="10"/>
      <c r="K12" s="10"/>
      <c r="L12" s="10"/>
      <c r="M12" s="10"/>
      <c r="N12" s="10" t="s">
        <v>292</v>
      </c>
      <c r="O12" s="10"/>
    </row>
    <row r="13" customFormat="false" ht="23.85" hidden="false" customHeight="false" outlineLevel="0" collapsed="false">
      <c r="A13" s="9" t="s">
        <v>156</v>
      </c>
      <c r="B13" s="9" t="s">
        <v>294</v>
      </c>
      <c r="C13" s="9" t="s">
        <v>274</v>
      </c>
      <c r="D13" s="9" t="s">
        <v>275</v>
      </c>
      <c r="E13" s="9" t="s">
        <v>295</v>
      </c>
      <c r="F13" s="9" t="s">
        <v>277</v>
      </c>
      <c r="G13" s="10" t="s">
        <v>159</v>
      </c>
      <c r="H13" s="10"/>
      <c r="I13" s="10"/>
      <c r="J13" s="10"/>
      <c r="K13" s="10"/>
      <c r="L13" s="10"/>
      <c r="M13" s="10"/>
      <c r="N13" s="10"/>
      <c r="O13" s="10"/>
    </row>
    <row r="14" customFormat="false" ht="35.05" hidden="false" customHeight="false" outlineLevel="0" collapsed="false">
      <c r="A14" s="9" t="s">
        <v>147</v>
      </c>
      <c r="B14" s="9" t="s">
        <v>296</v>
      </c>
      <c r="C14" s="9" t="s">
        <v>286</v>
      </c>
      <c r="D14" s="9"/>
      <c r="E14" s="9"/>
      <c r="F14" s="9" t="s">
        <v>153</v>
      </c>
      <c r="G14" s="10" t="s">
        <v>150</v>
      </c>
      <c r="H14" s="10" t="s">
        <v>297</v>
      </c>
      <c r="I14" s="10" t="s">
        <v>288</v>
      </c>
      <c r="J14" s="10" t="s">
        <v>280</v>
      </c>
      <c r="K14" s="10" t="s">
        <v>296</v>
      </c>
      <c r="L14" s="10"/>
      <c r="M14" s="10" t="s">
        <v>153</v>
      </c>
      <c r="N14" s="10" t="s">
        <v>298</v>
      </c>
      <c r="O14" s="10"/>
    </row>
    <row r="15" customFormat="false" ht="23.85" hidden="false" customHeight="false" outlineLevel="0" collapsed="false">
      <c r="A15" s="9" t="s">
        <v>156</v>
      </c>
      <c r="B15" s="9" t="s">
        <v>299</v>
      </c>
      <c r="C15" s="9" t="s">
        <v>274</v>
      </c>
      <c r="D15" s="9" t="s">
        <v>295</v>
      </c>
      <c r="E15" s="9" t="s">
        <v>300</v>
      </c>
      <c r="F15" s="9" t="s">
        <v>277</v>
      </c>
      <c r="G15" s="10" t="s">
        <v>159</v>
      </c>
      <c r="H15" s="10"/>
      <c r="I15" s="10"/>
      <c r="J15" s="10"/>
      <c r="K15" s="10"/>
      <c r="L15" s="10"/>
      <c r="M15" s="10"/>
      <c r="N15" s="10"/>
      <c r="O15" s="10"/>
    </row>
    <row r="16" customFormat="false" ht="35.05" hidden="false" customHeight="false" outlineLevel="0" collapsed="false">
      <c r="A16" s="9" t="s">
        <v>156</v>
      </c>
      <c r="B16" s="9" t="s">
        <v>299</v>
      </c>
      <c r="C16" s="9" t="s">
        <v>286</v>
      </c>
      <c r="D16" s="9"/>
      <c r="E16" s="9"/>
      <c r="F16" s="9" t="s">
        <v>153</v>
      </c>
      <c r="G16" s="10" t="s">
        <v>159</v>
      </c>
      <c r="H16" s="10" t="s">
        <v>301</v>
      </c>
      <c r="I16" s="10" t="s">
        <v>288</v>
      </c>
      <c r="J16" s="10" t="s">
        <v>280</v>
      </c>
      <c r="K16" s="10" t="s">
        <v>299</v>
      </c>
      <c r="L16" s="10"/>
      <c r="M16" s="10" t="s">
        <v>153</v>
      </c>
      <c r="N16" s="10" t="s">
        <v>302</v>
      </c>
      <c r="O16" s="10"/>
    </row>
    <row r="17" customFormat="false" ht="35.05" hidden="false" customHeight="false" outlineLevel="0" collapsed="false">
      <c r="A17" s="9" t="s">
        <v>147</v>
      </c>
      <c r="B17" s="9" t="s">
        <v>299</v>
      </c>
      <c r="C17" s="9" t="s">
        <v>274</v>
      </c>
      <c r="D17" s="9" t="s">
        <v>275</v>
      </c>
      <c r="E17" s="9" t="s">
        <v>303</v>
      </c>
      <c r="F17" s="9" t="s">
        <v>277</v>
      </c>
      <c r="G17" s="10" t="s">
        <v>150</v>
      </c>
      <c r="H17" s="10"/>
      <c r="I17" s="10"/>
      <c r="J17" s="10"/>
      <c r="K17" s="10"/>
      <c r="L17" s="10"/>
      <c r="M17" s="10"/>
      <c r="N17" s="10" t="s">
        <v>304</v>
      </c>
      <c r="O17" s="10"/>
    </row>
    <row r="18" customFormat="false" ht="35.05" hidden="false" customHeight="false" outlineLevel="0" collapsed="false">
      <c r="A18" s="9" t="s">
        <v>147</v>
      </c>
      <c r="B18" s="9" t="s">
        <v>305</v>
      </c>
      <c r="C18" s="9" t="s">
        <v>286</v>
      </c>
      <c r="D18" s="9"/>
      <c r="E18" s="9"/>
      <c r="F18" s="9" t="s">
        <v>153</v>
      </c>
      <c r="G18" s="10" t="s">
        <v>150</v>
      </c>
      <c r="H18" s="10" t="s">
        <v>301</v>
      </c>
      <c r="I18" s="10" t="s">
        <v>288</v>
      </c>
      <c r="J18" s="10" t="s">
        <v>280</v>
      </c>
      <c r="K18" s="10" t="s">
        <v>305</v>
      </c>
      <c r="L18" s="10"/>
      <c r="M18" s="10" t="s">
        <v>153</v>
      </c>
      <c r="N18" s="10" t="s">
        <v>306</v>
      </c>
      <c r="O18" s="10"/>
    </row>
    <row r="19" customFormat="false" ht="35.05" hidden="false" customHeight="false" outlineLevel="0" collapsed="false">
      <c r="A19" s="9" t="s">
        <v>179</v>
      </c>
      <c r="B19" s="9" t="s">
        <v>307</v>
      </c>
      <c r="C19" s="9" t="s">
        <v>286</v>
      </c>
      <c r="D19" s="9"/>
      <c r="E19" s="9"/>
      <c r="F19" s="9" t="s">
        <v>170</v>
      </c>
      <c r="G19" s="10" t="s">
        <v>182</v>
      </c>
      <c r="H19" s="10" t="s">
        <v>278</v>
      </c>
      <c r="I19" s="10" t="s">
        <v>279</v>
      </c>
      <c r="J19" s="10" t="s">
        <v>280</v>
      </c>
      <c r="K19" s="10" t="s">
        <v>307</v>
      </c>
      <c r="L19" s="10" t="s">
        <v>308</v>
      </c>
      <c r="M19" s="10" t="s">
        <v>170</v>
      </c>
      <c r="N19" s="10" t="s">
        <v>309</v>
      </c>
      <c r="O19" s="10"/>
    </row>
    <row r="20" customFormat="false" ht="15" hidden="false" customHeight="false" outlineLevel="0" collapsed="false">
      <c r="A20" s="9" t="s">
        <v>179</v>
      </c>
      <c r="B20" s="9" t="s">
        <v>310</v>
      </c>
      <c r="C20" s="9" t="s">
        <v>274</v>
      </c>
      <c r="D20" s="9" t="s">
        <v>276</v>
      </c>
      <c r="E20" s="9" t="s">
        <v>275</v>
      </c>
      <c r="F20" s="9" t="s">
        <v>277</v>
      </c>
      <c r="G20" s="10" t="s">
        <v>182</v>
      </c>
      <c r="H20" s="10"/>
      <c r="I20" s="10"/>
      <c r="J20" s="10"/>
      <c r="K20" s="10"/>
      <c r="L20" s="10"/>
      <c r="M20" s="10"/>
      <c r="N20" s="10"/>
      <c r="O20" s="10"/>
    </row>
    <row r="21" customFormat="false" ht="35.05" hidden="false" customHeight="false" outlineLevel="0" collapsed="false">
      <c r="A21" s="9" t="s">
        <v>164</v>
      </c>
      <c r="B21" s="9" t="s">
        <v>273</v>
      </c>
      <c r="C21" s="9" t="s">
        <v>286</v>
      </c>
      <c r="D21" s="9"/>
      <c r="E21" s="9"/>
      <c r="F21" s="9" t="s">
        <v>170</v>
      </c>
      <c r="G21" s="10" t="s">
        <v>167</v>
      </c>
      <c r="H21" s="10" t="s">
        <v>287</v>
      </c>
      <c r="I21" s="10" t="s">
        <v>288</v>
      </c>
      <c r="J21" s="10" t="s">
        <v>280</v>
      </c>
      <c r="K21" s="10" t="s">
        <v>273</v>
      </c>
      <c r="L21" s="10"/>
      <c r="M21" s="10" t="s">
        <v>170</v>
      </c>
      <c r="N21" s="10" t="s">
        <v>311</v>
      </c>
      <c r="O21" s="10"/>
    </row>
    <row r="22" customFormat="false" ht="15" hidden="false" customHeight="false" outlineLevel="0" collapsed="false">
      <c r="A22" s="9" t="s">
        <v>172</v>
      </c>
      <c r="B22" s="9" t="s">
        <v>273</v>
      </c>
      <c r="C22" s="9" t="s">
        <v>290</v>
      </c>
      <c r="D22" s="9"/>
      <c r="E22" s="9" t="s">
        <v>275</v>
      </c>
      <c r="F22" s="9" t="s">
        <v>277</v>
      </c>
      <c r="G22" s="10"/>
      <c r="H22" s="10"/>
      <c r="I22" s="10"/>
      <c r="J22" s="10"/>
      <c r="K22" s="10"/>
      <c r="L22" s="10"/>
      <c r="M22" s="10"/>
      <c r="N22" s="10" t="s">
        <v>292</v>
      </c>
      <c r="O22" s="10"/>
    </row>
    <row r="23" customFormat="false" ht="35.05" hidden="false" customHeight="false" outlineLevel="0" collapsed="false">
      <c r="A23" s="9" t="s">
        <v>147</v>
      </c>
      <c r="B23" s="9" t="s">
        <v>273</v>
      </c>
      <c r="C23" s="9" t="s">
        <v>274</v>
      </c>
      <c r="D23" s="9" t="s">
        <v>303</v>
      </c>
      <c r="E23" s="9" t="s">
        <v>276</v>
      </c>
      <c r="F23" s="9" t="s">
        <v>277</v>
      </c>
      <c r="G23" s="10" t="s">
        <v>150</v>
      </c>
      <c r="H23" s="10"/>
      <c r="I23" s="10"/>
      <c r="J23" s="10"/>
      <c r="K23" s="10"/>
      <c r="L23" s="10"/>
      <c r="M23" s="10"/>
      <c r="N23" s="10" t="s">
        <v>304</v>
      </c>
      <c r="O23" s="10"/>
    </row>
    <row r="24" customFormat="false" ht="35.05" hidden="false" customHeight="false" outlineLevel="0" collapsed="false">
      <c r="A24" s="9" t="s">
        <v>147</v>
      </c>
      <c r="B24" s="9" t="s">
        <v>273</v>
      </c>
      <c r="C24" s="9" t="s">
        <v>286</v>
      </c>
      <c r="D24" s="9"/>
      <c r="E24" s="9"/>
      <c r="F24" s="9" t="s">
        <v>153</v>
      </c>
      <c r="G24" s="10" t="s">
        <v>150</v>
      </c>
      <c r="H24" s="10" t="s">
        <v>312</v>
      </c>
      <c r="I24" s="10" t="s">
        <v>313</v>
      </c>
      <c r="J24" s="10" t="s">
        <v>146</v>
      </c>
      <c r="K24" s="10" t="s">
        <v>273</v>
      </c>
      <c r="L24" s="10"/>
      <c r="M24" s="10" t="s">
        <v>153</v>
      </c>
      <c r="N24" s="10" t="s">
        <v>314</v>
      </c>
      <c r="O24" s="10"/>
    </row>
    <row r="25" customFormat="false" ht="15" hidden="false" customHeight="false" outlineLevel="0" collapsed="false">
      <c r="A25" s="9" t="s">
        <v>242</v>
      </c>
      <c r="B25" s="9" t="s">
        <v>315</v>
      </c>
      <c r="C25" s="9" t="s">
        <v>290</v>
      </c>
      <c r="D25" s="9"/>
      <c r="E25" s="9" t="s">
        <v>276</v>
      </c>
      <c r="F25" s="9" t="s">
        <v>277</v>
      </c>
      <c r="G25" s="10"/>
      <c r="H25" s="10"/>
      <c r="I25" s="10"/>
      <c r="J25" s="10"/>
      <c r="K25" s="10"/>
      <c r="L25" s="10"/>
      <c r="M25" s="10"/>
      <c r="N25" s="10" t="s">
        <v>292</v>
      </c>
      <c r="O25" s="10"/>
    </row>
    <row r="26" customFormat="false" ht="15" hidden="false" customHeight="false" outlineLevel="0" collapsed="false">
      <c r="A26" s="9" t="s">
        <v>242</v>
      </c>
      <c r="B26" s="9" t="s">
        <v>316</v>
      </c>
      <c r="C26" s="9" t="s">
        <v>274</v>
      </c>
      <c r="D26" s="9" t="s">
        <v>276</v>
      </c>
      <c r="E26" s="9" t="s">
        <v>291</v>
      </c>
      <c r="F26" s="9" t="s">
        <v>277</v>
      </c>
      <c r="G26" s="10"/>
      <c r="H26" s="10"/>
      <c r="I26" s="10" t="s">
        <v>317</v>
      </c>
      <c r="J26" s="10" t="s">
        <v>280</v>
      </c>
      <c r="K26" s="10"/>
      <c r="L26" s="10"/>
      <c r="M26" s="10"/>
      <c r="N26" s="10"/>
      <c r="O26" s="10"/>
    </row>
    <row r="27" customFormat="false" ht="35.05" hidden="false" customHeight="false" outlineLevel="0" collapsed="false">
      <c r="A27" s="9" t="s">
        <v>164</v>
      </c>
      <c r="B27" s="9" t="s">
        <v>318</v>
      </c>
      <c r="C27" s="9" t="s">
        <v>286</v>
      </c>
      <c r="D27" s="9"/>
      <c r="E27" s="9"/>
      <c r="F27" s="9" t="s">
        <v>170</v>
      </c>
      <c r="G27" s="10" t="s">
        <v>167</v>
      </c>
      <c r="H27" s="10" t="s">
        <v>312</v>
      </c>
      <c r="I27" s="10" t="s">
        <v>313</v>
      </c>
      <c r="J27" s="10" t="s">
        <v>146</v>
      </c>
      <c r="K27" s="10" t="s">
        <v>318</v>
      </c>
      <c r="L27" s="10"/>
      <c r="M27" s="10" t="s">
        <v>170</v>
      </c>
      <c r="N27" s="10" t="s">
        <v>319</v>
      </c>
      <c r="O27" s="10"/>
    </row>
    <row r="28" customFormat="false" ht="35.05" hidden="false" customHeight="false" outlineLevel="0" collapsed="false">
      <c r="A28" s="9" t="s">
        <v>250</v>
      </c>
      <c r="B28" s="9" t="s">
        <v>320</v>
      </c>
      <c r="C28" s="9" t="s">
        <v>274</v>
      </c>
      <c r="D28" s="9" t="s">
        <v>291</v>
      </c>
      <c r="E28" s="9" t="s">
        <v>276</v>
      </c>
      <c r="F28" s="9" t="s">
        <v>277</v>
      </c>
      <c r="G28" s="10"/>
      <c r="H28" s="10"/>
      <c r="I28" s="10"/>
      <c r="J28" s="10"/>
      <c r="K28" s="10"/>
      <c r="L28" s="10"/>
      <c r="M28" s="10"/>
      <c r="N28" s="10" t="s">
        <v>304</v>
      </c>
      <c r="O28" s="10"/>
    </row>
    <row r="29" customFormat="false" ht="35.05" hidden="false" customHeight="false" outlineLevel="0" collapsed="false">
      <c r="A29" s="9" t="s">
        <v>179</v>
      </c>
      <c r="B29" s="9" t="s">
        <v>321</v>
      </c>
      <c r="C29" s="9" t="s">
        <v>286</v>
      </c>
      <c r="D29" s="9"/>
      <c r="E29" s="9"/>
      <c r="F29" s="9" t="s">
        <v>170</v>
      </c>
      <c r="G29" s="10" t="s">
        <v>182</v>
      </c>
      <c r="H29" s="10" t="s">
        <v>301</v>
      </c>
      <c r="I29" s="10" t="s">
        <v>288</v>
      </c>
      <c r="J29" s="10" t="s">
        <v>280</v>
      </c>
      <c r="K29" s="10" t="s">
        <v>321</v>
      </c>
      <c r="L29" s="10"/>
      <c r="M29" s="10" t="s">
        <v>170</v>
      </c>
      <c r="N29" s="10" t="s">
        <v>322</v>
      </c>
      <c r="O29" s="10"/>
    </row>
    <row r="30" customFormat="false" ht="35.05" hidden="false" customHeight="false" outlineLevel="0" collapsed="false">
      <c r="A30" s="9" t="s">
        <v>200</v>
      </c>
      <c r="B30" s="9" t="s">
        <v>323</v>
      </c>
      <c r="C30" s="9" t="s">
        <v>274</v>
      </c>
      <c r="D30" s="9" t="s">
        <v>291</v>
      </c>
      <c r="E30" s="9" t="s">
        <v>276</v>
      </c>
      <c r="F30" s="9" t="s">
        <v>277</v>
      </c>
      <c r="G30" s="10"/>
      <c r="H30" s="10"/>
      <c r="I30" s="10"/>
      <c r="J30" s="10"/>
      <c r="K30" s="10"/>
      <c r="L30" s="10"/>
      <c r="M30" s="10"/>
      <c r="N30" s="10" t="s">
        <v>304</v>
      </c>
      <c r="O30" s="10"/>
    </row>
    <row r="31" customFormat="false" ht="35.05" hidden="false" customHeight="false" outlineLevel="0" collapsed="false">
      <c r="A31" s="9" t="s">
        <v>187</v>
      </c>
      <c r="B31" s="9" t="s">
        <v>324</v>
      </c>
      <c r="C31" s="9" t="s">
        <v>286</v>
      </c>
      <c r="D31" s="9"/>
      <c r="E31" s="9"/>
      <c r="F31" s="9" t="s">
        <v>170</v>
      </c>
      <c r="G31" s="10" t="s">
        <v>190</v>
      </c>
      <c r="H31" s="10" t="s">
        <v>301</v>
      </c>
      <c r="I31" s="10" t="s">
        <v>313</v>
      </c>
      <c r="J31" s="10" t="s">
        <v>146</v>
      </c>
      <c r="K31" s="10" t="s">
        <v>324</v>
      </c>
      <c r="L31" s="10"/>
      <c r="M31" s="10" t="s">
        <v>170</v>
      </c>
      <c r="N31" s="10" t="s">
        <v>325</v>
      </c>
      <c r="O31" s="10"/>
    </row>
    <row r="32" customFormat="false" ht="15" hidden="false" customHeight="false" outlineLevel="0" collapsed="false">
      <c r="A32" s="9" t="s">
        <v>216</v>
      </c>
      <c r="B32" s="9" t="s">
        <v>326</v>
      </c>
      <c r="C32" s="9" t="s">
        <v>290</v>
      </c>
      <c r="D32" s="9"/>
      <c r="E32" s="9" t="s">
        <v>275</v>
      </c>
      <c r="F32" s="9" t="s">
        <v>277</v>
      </c>
      <c r="G32" s="10"/>
      <c r="H32" s="10"/>
      <c r="I32" s="10"/>
      <c r="J32" s="10"/>
      <c r="K32" s="10"/>
      <c r="L32" s="10"/>
      <c r="M32" s="10"/>
      <c r="N32" s="10" t="s">
        <v>292</v>
      </c>
      <c r="O32" s="10"/>
    </row>
    <row r="33" customFormat="false" ht="15" hidden="false" customHeight="false" outlineLevel="0" collapsed="false">
      <c r="A33" s="9" t="s">
        <v>259</v>
      </c>
      <c r="B33" s="9" t="s">
        <v>327</v>
      </c>
      <c r="C33" s="9" t="s">
        <v>328</v>
      </c>
      <c r="D33" s="9" t="s">
        <v>291</v>
      </c>
      <c r="E33" s="9" t="s">
        <v>329</v>
      </c>
      <c r="F33" s="9" t="s">
        <v>277</v>
      </c>
      <c r="G33" s="10"/>
      <c r="H33" s="10"/>
      <c r="I33" s="10"/>
      <c r="J33" s="10"/>
      <c r="K33" s="10"/>
      <c r="L33" s="10"/>
      <c r="M33" s="10"/>
      <c r="N33" s="10" t="s">
        <v>330</v>
      </c>
      <c r="O33" s="10"/>
    </row>
    <row r="34" customFormat="false" ht="15" hidden="false" customHeight="false" outlineLevel="0" collapsed="false">
      <c r="A34" s="9" t="s">
        <v>242</v>
      </c>
      <c r="B34" s="9" t="s">
        <v>327</v>
      </c>
      <c r="C34" s="9" t="s">
        <v>328</v>
      </c>
      <c r="D34" s="9" t="s">
        <v>291</v>
      </c>
      <c r="E34" s="9" t="s">
        <v>329</v>
      </c>
      <c r="F34" s="9" t="s">
        <v>277</v>
      </c>
      <c r="G34" s="10"/>
      <c r="H34" s="10"/>
      <c r="I34" s="10"/>
      <c r="J34" s="10"/>
      <c r="K34" s="10"/>
      <c r="L34" s="10"/>
      <c r="M34" s="10"/>
      <c r="N34" s="10" t="s">
        <v>330</v>
      </c>
      <c r="O34" s="10"/>
    </row>
    <row r="35" customFormat="false" ht="15" hidden="false" customHeight="false" outlineLevel="0" collapsed="false">
      <c r="A35" s="9" t="s">
        <v>227</v>
      </c>
      <c r="B35" s="9" t="s">
        <v>331</v>
      </c>
      <c r="C35" s="9" t="s">
        <v>290</v>
      </c>
      <c r="D35" s="9"/>
      <c r="E35" s="9" t="s">
        <v>275</v>
      </c>
      <c r="F35" s="9" t="s">
        <v>277</v>
      </c>
      <c r="G35" s="10"/>
      <c r="H35" s="10"/>
      <c r="I35" s="10"/>
      <c r="J35" s="10"/>
      <c r="K35" s="10"/>
      <c r="L35" s="10"/>
      <c r="M35" s="10"/>
      <c r="N35" s="10" t="s">
        <v>292</v>
      </c>
      <c r="O35" s="10"/>
    </row>
    <row r="36" customFormat="false" ht="35.05" hidden="false" customHeight="false" outlineLevel="0" collapsed="false">
      <c r="A36" s="9" t="s">
        <v>227</v>
      </c>
      <c r="B36" s="9" t="s">
        <v>331</v>
      </c>
      <c r="C36" s="9" t="s">
        <v>286</v>
      </c>
      <c r="D36" s="9"/>
      <c r="E36" s="9"/>
      <c r="F36" s="9" t="s">
        <v>170</v>
      </c>
      <c r="G36" s="10" t="s">
        <v>229</v>
      </c>
      <c r="H36" s="10" t="s">
        <v>287</v>
      </c>
      <c r="I36" s="10" t="s">
        <v>288</v>
      </c>
      <c r="J36" s="10" t="s">
        <v>280</v>
      </c>
      <c r="K36" s="10" t="s">
        <v>331</v>
      </c>
      <c r="L36" s="10"/>
      <c r="M36" s="10" t="s">
        <v>170</v>
      </c>
      <c r="N36" s="10" t="s">
        <v>332</v>
      </c>
      <c r="O36" s="10"/>
    </row>
    <row r="37" customFormat="false" ht="15" hidden="false" customHeight="false" outlineLevel="0" collapsed="false">
      <c r="A37" s="9" t="s">
        <v>246</v>
      </c>
      <c r="B37" s="9" t="s">
        <v>333</v>
      </c>
      <c r="C37" s="9" t="s">
        <v>290</v>
      </c>
      <c r="D37" s="9"/>
      <c r="E37" s="9" t="s">
        <v>334</v>
      </c>
      <c r="F37" s="9" t="s">
        <v>277</v>
      </c>
      <c r="G37" s="10"/>
      <c r="H37" s="10"/>
      <c r="I37" s="10"/>
      <c r="J37" s="10"/>
      <c r="K37" s="10"/>
      <c r="L37" s="10"/>
      <c r="M37" s="10"/>
      <c r="N37" s="10" t="s">
        <v>292</v>
      </c>
      <c r="O37" s="10"/>
    </row>
    <row r="38" customFormat="false" ht="15" hidden="false" customHeight="false" outlineLevel="0" collapsed="false">
      <c r="A38" s="9" t="s">
        <v>172</v>
      </c>
      <c r="B38" s="9" t="s">
        <v>335</v>
      </c>
      <c r="C38" s="9" t="s">
        <v>274</v>
      </c>
      <c r="D38" s="9" t="s">
        <v>275</v>
      </c>
      <c r="E38" s="9" t="s">
        <v>336</v>
      </c>
      <c r="F38" s="9" t="s">
        <v>277</v>
      </c>
      <c r="G38" s="10" t="s">
        <v>174</v>
      </c>
      <c r="H38" s="10"/>
      <c r="I38" s="10" t="s">
        <v>313</v>
      </c>
      <c r="J38" s="10" t="s">
        <v>146</v>
      </c>
      <c r="K38" s="10"/>
      <c r="L38" s="10"/>
      <c r="M38" s="10"/>
      <c r="N38" s="10"/>
      <c r="O38" s="10"/>
    </row>
    <row r="39" customFormat="false" ht="68.65" hidden="false" customHeight="false" outlineLevel="0" collapsed="false">
      <c r="A39" s="9" t="s">
        <v>216</v>
      </c>
      <c r="B39" s="9" t="s">
        <v>335</v>
      </c>
      <c r="C39" s="9" t="s">
        <v>286</v>
      </c>
      <c r="D39" s="9"/>
      <c r="E39" s="9"/>
      <c r="F39" s="9" t="s">
        <v>222</v>
      </c>
      <c r="G39" s="10" t="s">
        <v>219</v>
      </c>
      <c r="H39" s="10" t="s">
        <v>301</v>
      </c>
      <c r="I39" s="10" t="s">
        <v>288</v>
      </c>
      <c r="J39" s="10" t="s">
        <v>280</v>
      </c>
      <c r="K39" s="10" t="s">
        <v>335</v>
      </c>
      <c r="L39" s="10"/>
      <c r="M39" s="10" t="s">
        <v>222</v>
      </c>
      <c r="N39" s="10" t="s">
        <v>337</v>
      </c>
      <c r="O39" s="10"/>
    </row>
    <row r="40" customFormat="false" ht="35.05" hidden="false" customHeight="false" outlineLevel="0" collapsed="false">
      <c r="A40" s="9" t="s">
        <v>246</v>
      </c>
      <c r="B40" s="9" t="s">
        <v>338</v>
      </c>
      <c r="C40" s="9" t="s">
        <v>274</v>
      </c>
      <c r="D40" s="9" t="s">
        <v>334</v>
      </c>
      <c r="E40" s="9" t="s">
        <v>276</v>
      </c>
      <c r="F40" s="9" t="s">
        <v>277</v>
      </c>
      <c r="G40" s="10"/>
      <c r="H40" s="10"/>
      <c r="I40" s="10"/>
      <c r="J40" s="10"/>
      <c r="K40" s="10"/>
      <c r="L40" s="10"/>
      <c r="M40" s="10"/>
      <c r="N40" s="10" t="s">
        <v>304</v>
      </c>
      <c r="O40" s="10"/>
    </row>
    <row r="41" customFormat="false" ht="35.05" hidden="false" customHeight="false" outlineLevel="0" collapsed="false">
      <c r="A41" s="9" t="s">
        <v>156</v>
      </c>
      <c r="B41" s="9" t="s">
        <v>339</v>
      </c>
      <c r="C41" s="9" t="s">
        <v>286</v>
      </c>
      <c r="D41" s="9"/>
      <c r="E41" s="9"/>
      <c r="F41" s="9" t="s">
        <v>153</v>
      </c>
      <c r="G41" s="10" t="s">
        <v>159</v>
      </c>
      <c r="H41" s="10" t="s">
        <v>340</v>
      </c>
      <c r="I41" s="10" t="s">
        <v>313</v>
      </c>
      <c r="J41" s="10" t="s">
        <v>146</v>
      </c>
      <c r="K41" s="10" t="s">
        <v>339</v>
      </c>
      <c r="L41" s="10"/>
      <c r="M41" s="10" t="s">
        <v>153</v>
      </c>
      <c r="N41" s="10" t="s">
        <v>341</v>
      </c>
      <c r="O41" s="10"/>
    </row>
    <row r="42" customFormat="false" ht="35.05" hidden="false" customHeight="false" outlineLevel="0" collapsed="false">
      <c r="A42" s="9" t="s">
        <v>233</v>
      </c>
      <c r="B42" s="9" t="s">
        <v>339</v>
      </c>
      <c r="C42" s="9" t="s">
        <v>286</v>
      </c>
      <c r="D42" s="9"/>
      <c r="E42" s="9"/>
      <c r="F42" s="9" t="s">
        <v>170</v>
      </c>
      <c r="G42" s="10" t="s">
        <v>234</v>
      </c>
      <c r="H42" s="10" t="s">
        <v>287</v>
      </c>
      <c r="I42" s="10" t="s">
        <v>288</v>
      </c>
      <c r="J42" s="10" t="s">
        <v>280</v>
      </c>
      <c r="K42" s="10" t="s">
        <v>339</v>
      </c>
      <c r="L42" s="10"/>
      <c r="M42" s="10" t="s">
        <v>170</v>
      </c>
      <c r="N42" s="10" t="s">
        <v>342</v>
      </c>
      <c r="O42" s="10"/>
    </row>
    <row r="43" customFormat="false" ht="15" hidden="false" customHeight="false" outlineLevel="0" collapsed="false">
      <c r="A43" s="9" t="s">
        <v>164</v>
      </c>
      <c r="B43" s="9" t="s">
        <v>339</v>
      </c>
      <c r="C43" s="9" t="s">
        <v>290</v>
      </c>
      <c r="D43" s="9"/>
      <c r="E43" s="9" t="s">
        <v>336</v>
      </c>
      <c r="F43" s="9" t="s">
        <v>277</v>
      </c>
      <c r="G43" s="10"/>
      <c r="H43" s="10"/>
      <c r="I43" s="10"/>
      <c r="J43" s="10"/>
      <c r="K43" s="10"/>
      <c r="L43" s="10"/>
      <c r="M43" s="10"/>
      <c r="N43" s="10" t="s">
        <v>292</v>
      </c>
      <c r="O43" s="10"/>
    </row>
    <row r="44" customFormat="false" ht="15" hidden="false" customHeight="false" outlineLevel="0" collapsed="false">
      <c r="A44" s="9" t="s">
        <v>156</v>
      </c>
      <c r="B44" s="9" t="s">
        <v>343</v>
      </c>
      <c r="C44" s="9" t="s">
        <v>274</v>
      </c>
      <c r="D44" s="9" t="s">
        <v>300</v>
      </c>
      <c r="E44" s="9" t="s">
        <v>336</v>
      </c>
      <c r="F44" s="9" t="s">
        <v>277</v>
      </c>
      <c r="G44" s="10" t="s">
        <v>159</v>
      </c>
      <c r="H44" s="10"/>
      <c r="I44" s="10" t="s">
        <v>313</v>
      </c>
      <c r="J44" s="10" t="s">
        <v>146</v>
      </c>
      <c r="K44" s="10"/>
      <c r="L44" s="10"/>
      <c r="M44" s="10"/>
      <c r="N44" s="10"/>
      <c r="O44" s="10"/>
    </row>
    <row r="45" customFormat="false" ht="35.05" hidden="false" customHeight="false" outlineLevel="0" collapsed="false">
      <c r="A45" s="9" t="s">
        <v>179</v>
      </c>
      <c r="B45" s="9" t="s">
        <v>344</v>
      </c>
      <c r="C45" s="9" t="s">
        <v>286</v>
      </c>
      <c r="D45" s="9"/>
      <c r="E45" s="9"/>
      <c r="F45" s="9" t="s">
        <v>170</v>
      </c>
      <c r="G45" s="10" t="s">
        <v>182</v>
      </c>
      <c r="H45" s="10" t="s">
        <v>278</v>
      </c>
      <c r="I45" s="10" t="s">
        <v>345</v>
      </c>
      <c r="J45" s="10" t="s">
        <v>146</v>
      </c>
      <c r="K45" s="10" t="s">
        <v>344</v>
      </c>
      <c r="L45" s="10" t="s">
        <v>308</v>
      </c>
      <c r="M45" s="10" t="s">
        <v>170</v>
      </c>
      <c r="N45" s="10" t="s">
        <v>346</v>
      </c>
      <c r="O45" s="10"/>
    </row>
    <row r="46" customFormat="false" ht="15" hidden="false" customHeight="false" outlineLevel="0" collapsed="false">
      <c r="A46" s="9" t="s">
        <v>193</v>
      </c>
      <c r="B46" s="9" t="s">
        <v>347</v>
      </c>
      <c r="C46" s="9" t="s">
        <v>328</v>
      </c>
      <c r="D46" s="9" t="s">
        <v>291</v>
      </c>
      <c r="E46" s="9" t="s">
        <v>329</v>
      </c>
      <c r="F46" s="9" t="s">
        <v>277</v>
      </c>
      <c r="G46" s="10"/>
      <c r="H46" s="10"/>
      <c r="I46" s="10"/>
      <c r="J46" s="10"/>
      <c r="K46" s="10"/>
      <c r="L46" s="10"/>
      <c r="M46" s="10"/>
      <c r="N46" s="10" t="s">
        <v>330</v>
      </c>
      <c r="O46" s="10"/>
    </row>
    <row r="47" customFormat="false" ht="35.05" hidden="false" customHeight="false" outlineLevel="0" collapsed="false">
      <c r="A47" s="9" t="s">
        <v>227</v>
      </c>
      <c r="B47" s="9" t="s">
        <v>348</v>
      </c>
      <c r="C47" s="9" t="s">
        <v>286</v>
      </c>
      <c r="D47" s="9"/>
      <c r="E47" s="9"/>
      <c r="F47" s="9" t="s">
        <v>170</v>
      </c>
      <c r="G47" s="10" t="s">
        <v>229</v>
      </c>
      <c r="H47" s="10" t="s">
        <v>349</v>
      </c>
      <c r="I47" s="10" t="s">
        <v>288</v>
      </c>
      <c r="J47" s="10" t="s">
        <v>280</v>
      </c>
      <c r="K47" s="10" t="s">
        <v>348</v>
      </c>
      <c r="L47" s="10"/>
      <c r="M47" s="10" t="s">
        <v>170</v>
      </c>
      <c r="N47" s="10" t="s">
        <v>350</v>
      </c>
      <c r="O47" s="10"/>
    </row>
    <row r="48" customFormat="false" ht="35.05" hidden="false" customHeight="false" outlineLevel="0" collapsed="false">
      <c r="A48" s="9" t="s">
        <v>187</v>
      </c>
      <c r="B48" s="9" t="s">
        <v>351</v>
      </c>
      <c r="C48" s="9" t="s">
        <v>286</v>
      </c>
      <c r="D48" s="9"/>
      <c r="E48" s="9"/>
      <c r="F48" s="9" t="s">
        <v>170</v>
      </c>
      <c r="G48" s="10" t="s">
        <v>190</v>
      </c>
      <c r="H48" s="10" t="s">
        <v>278</v>
      </c>
      <c r="I48" s="10" t="s">
        <v>345</v>
      </c>
      <c r="J48" s="10" t="s">
        <v>146</v>
      </c>
      <c r="K48" s="10" t="s">
        <v>351</v>
      </c>
      <c r="L48" s="10"/>
      <c r="M48" s="10" t="s">
        <v>170</v>
      </c>
      <c r="N48" s="10" t="s">
        <v>352</v>
      </c>
      <c r="O48" s="10"/>
    </row>
    <row r="49" customFormat="false" ht="35.05" hidden="false" customHeight="false" outlineLevel="0" collapsed="false">
      <c r="A49" s="9" t="s">
        <v>227</v>
      </c>
      <c r="B49" s="9" t="s">
        <v>353</v>
      </c>
      <c r="C49" s="9" t="s">
        <v>286</v>
      </c>
      <c r="D49" s="9"/>
      <c r="E49" s="9"/>
      <c r="F49" s="9" t="s">
        <v>170</v>
      </c>
      <c r="G49" s="10" t="s">
        <v>229</v>
      </c>
      <c r="H49" s="10" t="s">
        <v>297</v>
      </c>
      <c r="I49" s="10" t="s">
        <v>288</v>
      </c>
      <c r="J49" s="10" t="s">
        <v>280</v>
      </c>
      <c r="K49" s="10" t="s">
        <v>353</v>
      </c>
      <c r="L49" s="10"/>
      <c r="M49" s="10" t="s">
        <v>170</v>
      </c>
      <c r="N49" s="10" t="s">
        <v>354</v>
      </c>
      <c r="O49" s="10"/>
    </row>
    <row r="50" customFormat="false" ht="35.05" hidden="false" customHeight="false" outlineLevel="0" collapsed="false">
      <c r="A50" s="9" t="s">
        <v>227</v>
      </c>
      <c r="B50" s="9" t="s">
        <v>355</v>
      </c>
      <c r="C50" s="9" t="s">
        <v>286</v>
      </c>
      <c r="D50" s="9"/>
      <c r="E50" s="9"/>
      <c r="F50" s="9" t="s">
        <v>170</v>
      </c>
      <c r="G50" s="10" t="s">
        <v>229</v>
      </c>
      <c r="H50" s="10" t="s">
        <v>356</v>
      </c>
      <c r="I50" s="10" t="s">
        <v>317</v>
      </c>
      <c r="J50" s="10" t="s">
        <v>280</v>
      </c>
      <c r="K50" s="10" t="s">
        <v>355</v>
      </c>
      <c r="L50" s="10"/>
      <c r="M50" s="10" t="s">
        <v>170</v>
      </c>
      <c r="N50" s="10" t="s">
        <v>357</v>
      </c>
      <c r="O50" s="10"/>
    </row>
    <row r="51" customFormat="false" ht="35.05" hidden="false" customHeight="false" outlineLevel="0" collapsed="false">
      <c r="A51" s="9" t="s">
        <v>233</v>
      </c>
      <c r="B51" s="9" t="s">
        <v>358</v>
      </c>
      <c r="C51" s="9" t="s">
        <v>286</v>
      </c>
      <c r="D51" s="9"/>
      <c r="E51" s="9"/>
      <c r="F51" s="9" t="s">
        <v>170</v>
      </c>
      <c r="G51" s="10" t="s">
        <v>234</v>
      </c>
      <c r="H51" s="10" t="s">
        <v>359</v>
      </c>
      <c r="I51" s="10" t="s">
        <v>288</v>
      </c>
      <c r="J51" s="10" t="s">
        <v>280</v>
      </c>
      <c r="K51" s="10" t="s">
        <v>358</v>
      </c>
      <c r="L51" s="10"/>
      <c r="M51" s="10" t="s">
        <v>170</v>
      </c>
      <c r="N51" s="10" t="s">
        <v>360</v>
      </c>
      <c r="O51" s="10"/>
    </row>
    <row r="52" customFormat="false" ht="35.05" hidden="false" customHeight="false" outlineLevel="0" collapsed="false">
      <c r="A52" s="9" t="s">
        <v>193</v>
      </c>
      <c r="B52" s="9" t="s">
        <v>99</v>
      </c>
      <c r="C52" s="9" t="s">
        <v>286</v>
      </c>
      <c r="D52" s="9"/>
      <c r="E52" s="9"/>
      <c r="F52" s="9" t="s">
        <v>170</v>
      </c>
      <c r="G52" s="10" t="s">
        <v>196</v>
      </c>
      <c r="H52" s="10" t="s">
        <v>287</v>
      </c>
      <c r="I52" s="10" t="s">
        <v>288</v>
      </c>
      <c r="J52" s="10" t="s">
        <v>280</v>
      </c>
      <c r="K52" s="10" t="s">
        <v>99</v>
      </c>
      <c r="L52" s="10"/>
      <c r="M52" s="10" t="s">
        <v>170</v>
      </c>
      <c r="N52" s="10" t="s">
        <v>361</v>
      </c>
      <c r="O52" s="10"/>
    </row>
    <row r="53" customFormat="false" ht="68.65" hidden="false" customHeight="false" outlineLevel="0" collapsed="false">
      <c r="A53" s="9" t="s">
        <v>216</v>
      </c>
      <c r="B53" s="9" t="s">
        <v>362</v>
      </c>
      <c r="C53" s="9" t="s">
        <v>286</v>
      </c>
      <c r="D53" s="9"/>
      <c r="E53" s="9"/>
      <c r="F53" s="9" t="s">
        <v>222</v>
      </c>
      <c r="G53" s="10" t="s">
        <v>219</v>
      </c>
      <c r="H53" s="10" t="s">
        <v>301</v>
      </c>
      <c r="I53" s="10" t="s">
        <v>288</v>
      </c>
      <c r="J53" s="10" t="s">
        <v>280</v>
      </c>
      <c r="K53" s="10" t="s">
        <v>362</v>
      </c>
      <c r="L53" s="10"/>
      <c r="M53" s="10" t="s">
        <v>222</v>
      </c>
      <c r="N53" s="10" t="s">
        <v>363</v>
      </c>
      <c r="O53" s="10"/>
    </row>
    <row r="54" customFormat="false" ht="35.05" hidden="false" customHeight="false" outlineLevel="0" collapsed="false">
      <c r="A54" s="9" t="s">
        <v>233</v>
      </c>
      <c r="B54" s="9" t="s">
        <v>364</v>
      </c>
      <c r="C54" s="9" t="s">
        <v>286</v>
      </c>
      <c r="D54" s="9"/>
      <c r="E54" s="9"/>
      <c r="F54" s="9" t="s">
        <v>170</v>
      </c>
      <c r="G54" s="10" t="s">
        <v>234</v>
      </c>
      <c r="H54" s="10" t="s">
        <v>359</v>
      </c>
      <c r="I54" s="10" t="s">
        <v>288</v>
      </c>
      <c r="J54" s="10" t="s">
        <v>280</v>
      </c>
      <c r="K54" s="10" t="s">
        <v>364</v>
      </c>
      <c r="L54" s="10"/>
      <c r="M54" s="10" t="s">
        <v>170</v>
      </c>
      <c r="N54" s="10" t="s">
        <v>365</v>
      </c>
      <c r="O54" s="10"/>
    </row>
    <row r="55" customFormat="false" ht="35.05" hidden="false" customHeight="false" outlineLevel="0" collapsed="false">
      <c r="A55" s="9" t="s">
        <v>233</v>
      </c>
      <c r="B55" s="9" t="s">
        <v>366</v>
      </c>
      <c r="C55" s="9" t="s">
        <v>286</v>
      </c>
      <c r="D55" s="9"/>
      <c r="E55" s="9"/>
      <c r="F55" s="9" t="s">
        <v>170</v>
      </c>
      <c r="G55" s="10" t="s">
        <v>234</v>
      </c>
      <c r="H55" s="10" t="s">
        <v>297</v>
      </c>
      <c r="I55" s="10" t="s">
        <v>317</v>
      </c>
      <c r="J55" s="10" t="s">
        <v>280</v>
      </c>
      <c r="K55" s="10" t="s">
        <v>366</v>
      </c>
      <c r="L55" s="10"/>
      <c r="M55" s="10" t="s">
        <v>170</v>
      </c>
      <c r="N55" s="10" t="s">
        <v>367</v>
      </c>
      <c r="O55" s="10"/>
    </row>
    <row r="56" customFormat="false" ht="68.65" hidden="false" customHeight="false" outlineLevel="0" collapsed="false">
      <c r="A56" s="9" t="s">
        <v>216</v>
      </c>
      <c r="B56" s="9" t="s">
        <v>368</v>
      </c>
      <c r="C56" s="9" t="s">
        <v>286</v>
      </c>
      <c r="D56" s="9"/>
      <c r="E56" s="9"/>
      <c r="F56" s="9" t="s">
        <v>222</v>
      </c>
      <c r="G56" s="10" t="s">
        <v>219</v>
      </c>
      <c r="H56" s="10" t="s">
        <v>312</v>
      </c>
      <c r="I56" s="10" t="s">
        <v>288</v>
      </c>
      <c r="J56" s="10" t="s">
        <v>280</v>
      </c>
      <c r="K56" s="10" t="s">
        <v>368</v>
      </c>
      <c r="L56" s="10"/>
      <c r="M56" s="10" t="s">
        <v>222</v>
      </c>
      <c r="N56" s="10" t="s">
        <v>369</v>
      </c>
      <c r="O56" s="10"/>
    </row>
    <row r="57" customFormat="false" ht="35.05" hidden="false" customHeight="false" outlineLevel="0" collapsed="false">
      <c r="A57" s="9" t="s">
        <v>246</v>
      </c>
      <c r="B57" s="9" t="s">
        <v>370</v>
      </c>
      <c r="C57" s="9" t="s">
        <v>286</v>
      </c>
      <c r="D57" s="9"/>
      <c r="E57" s="9"/>
      <c r="F57" s="9" t="s">
        <v>170</v>
      </c>
      <c r="G57" s="10" t="s">
        <v>248</v>
      </c>
      <c r="H57" s="10" t="s">
        <v>356</v>
      </c>
      <c r="I57" s="10" t="s">
        <v>317</v>
      </c>
      <c r="J57" s="10" t="s">
        <v>280</v>
      </c>
      <c r="K57" s="10" t="s">
        <v>370</v>
      </c>
      <c r="L57" s="10"/>
      <c r="M57" s="10" t="s">
        <v>170</v>
      </c>
      <c r="N57" s="10" t="s">
        <v>371</v>
      </c>
      <c r="O57" s="10"/>
    </row>
    <row r="58" customFormat="false" ht="35.05" hidden="false" customHeight="false" outlineLevel="0" collapsed="false">
      <c r="A58" s="9" t="s">
        <v>164</v>
      </c>
      <c r="B58" s="9" t="s">
        <v>372</v>
      </c>
      <c r="C58" s="9" t="s">
        <v>286</v>
      </c>
      <c r="D58" s="9"/>
      <c r="E58" s="9"/>
      <c r="F58" s="9" t="s">
        <v>170</v>
      </c>
      <c r="G58" s="10" t="s">
        <v>167</v>
      </c>
      <c r="H58" s="10" t="s">
        <v>278</v>
      </c>
      <c r="I58" s="10" t="s">
        <v>345</v>
      </c>
      <c r="J58" s="10" t="s">
        <v>146</v>
      </c>
      <c r="K58" s="10" t="s">
        <v>372</v>
      </c>
      <c r="L58" s="10"/>
      <c r="M58" s="10" t="s">
        <v>170</v>
      </c>
      <c r="N58" s="10" t="s">
        <v>373</v>
      </c>
      <c r="O58" s="10"/>
    </row>
    <row r="59" customFormat="false" ht="35.05" hidden="false" customHeight="false" outlineLevel="0" collapsed="false">
      <c r="A59" s="9" t="s">
        <v>179</v>
      </c>
      <c r="B59" s="9" t="s">
        <v>374</v>
      </c>
      <c r="C59" s="9" t="s">
        <v>286</v>
      </c>
      <c r="D59" s="9"/>
      <c r="E59" s="9"/>
      <c r="F59" s="9" t="s">
        <v>170</v>
      </c>
      <c r="G59" s="10" t="s">
        <v>182</v>
      </c>
      <c r="H59" s="10" t="s">
        <v>278</v>
      </c>
      <c r="I59" s="10" t="s">
        <v>345</v>
      </c>
      <c r="J59" s="10" t="s">
        <v>146</v>
      </c>
      <c r="K59" s="10" t="s">
        <v>374</v>
      </c>
      <c r="L59" s="10"/>
      <c r="M59" s="10" t="s">
        <v>170</v>
      </c>
      <c r="N59" s="10" t="s">
        <v>375</v>
      </c>
      <c r="O59" s="10"/>
    </row>
    <row r="60" customFormat="false" ht="68.65" hidden="false" customHeight="false" outlineLevel="0" collapsed="false">
      <c r="A60" s="9" t="s">
        <v>216</v>
      </c>
      <c r="B60" s="9" t="s">
        <v>376</v>
      </c>
      <c r="C60" s="9" t="s">
        <v>286</v>
      </c>
      <c r="D60" s="9"/>
      <c r="E60" s="9"/>
      <c r="F60" s="9" t="s">
        <v>222</v>
      </c>
      <c r="G60" s="10" t="s">
        <v>219</v>
      </c>
      <c r="H60" s="10" t="s">
        <v>340</v>
      </c>
      <c r="I60" s="10" t="s">
        <v>313</v>
      </c>
      <c r="J60" s="10" t="s">
        <v>280</v>
      </c>
      <c r="K60" s="10" t="s">
        <v>376</v>
      </c>
      <c r="L60" s="10"/>
      <c r="M60" s="10" t="s">
        <v>222</v>
      </c>
      <c r="N60" s="10" t="s">
        <v>377</v>
      </c>
      <c r="O60" s="10"/>
    </row>
    <row r="61" customFormat="false" ht="35.05" hidden="false" customHeight="false" outlineLevel="0" collapsed="false">
      <c r="A61" s="9" t="s">
        <v>193</v>
      </c>
      <c r="B61" s="9" t="s">
        <v>378</v>
      </c>
      <c r="C61" s="9" t="s">
        <v>286</v>
      </c>
      <c r="D61" s="9"/>
      <c r="E61" s="9"/>
      <c r="F61" s="9" t="s">
        <v>379</v>
      </c>
      <c r="G61" s="10" t="s">
        <v>196</v>
      </c>
      <c r="H61" s="10" t="s">
        <v>301</v>
      </c>
      <c r="I61" s="10" t="s">
        <v>288</v>
      </c>
      <c r="J61" s="10" t="s">
        <v>280</v>
      </c>
      <c r="K61" s="10" t="s">
        <v>378</v>
      </c>
      <c r="L61" s="10"/>
      <c r="M61" s="10" t="s">
        <v>379</v>
      </c>
      <c r="N61" s="10" t="s">
        <v>380</v>
      </c>
      <c r="O61" s="10"/>
    </row>
    <row r="62" customFormat="false" ht="35.05" hidden="false" customHeight="false" outlineLevel="0" collapsed="false">
      <c r="A62" s="9" t="s">
        <v>381</v>
      </c>
      <c r="B62" s="9" t="s">
        <v>378</v>
      </c>
      <c r="C62" s="9" t="s">
        <v>286</v>
      </c>
      <c r="D62" s="9"/>
      <c r="E62" s="9"/>
      <c r="F62" s="9" t="s">
        <v>379</v>
      </c>
      <c r="G62" s="10"/>
      <c r="H62" s="10" t="s">
        <v>278</v>
      </c>
      <c r="I62" s="10"/>
      <c r="J62" s="10"/>
      <c r="K62" s="10" t="s">
        <v>378</v>
      </c>
      <c r="L62" s="10" t="s">
        <v>382</v>
      </c>
      <c r="M62" s="10" t="s">
        <v>379</v>
      </c>
      <c r="N62" s="10" t="s">
        <v>383</v>
      </c>
      <c r="O62" s="10"/>
    </row>
    <row r="63" customFormat="false" ht="23.85" hidden="false" customHeight="false" outlineLevel="0" collapsed="false">
      <c r="A63" s="9" t="s">
        <v>200</v>
      </c>
      <c r="B63" s="9" t="s">
        <v>384</v>
      </c>
      <c r="C63" s="9" t="s">
        <v>286</v>
      </c>
      <c r="D63" s="9"/>
      <c r="E63" s="9"/>
      <c r="F63" s="9" t="s">
        <v>379</v>
      </c>
      <c r="G63" s="10" t="s">
        <v>203</v>
      </c>
      <c r="H63" s="10" t="s">
        <v>287</v>
      </c>
      <c r="I63" s="10" t="s">
        <v>288</v>
      </c>
      <c r="J63" s="10" t="s">
        <v>280</v>
      </c>
      <c r="K63" s="10" t="s">
        <v>384</v>
      </c>
      <c r="L63" s="10" t="s">
        <v>385</v>
      </c>
      <c r="M63" s="10" t="s">
        <v>379</v>
      </c>
      <c r="N63" s="10" t="s">
        <v>386</v>
      </c>
      <c r="O63" s="10"/>
    </row>
    <row r="64" customFormat="false" ht="35.05" hidden="false" customHeight="false" outlineLevel="0" collapsed="false">
      <c r="A64" s="9" t="s">
        <v>211</v>
      </c>
      <c r="B64" s="9" t="s">
        <v>387</v>
      </c>
      <c r="C64" s="9" t="s">
        <v>286</v>
      </c>
      <c r="D64" s="9"/>
      <c r="E64" s="9"/>
      <c r="F64" s="9" t="s">
        <v>170</v>
      </c>
      <c r="G64" s="10" t="s">
        <v>213</v>
      </c>
      <c r="H64" s="10" t="s">
        <v>287</v>
      </c>
      <c r="I64" s="10" t="s">
        <v>288</v>
      </c>
      <c r="J64" s="10" t="s">
        <v>280</v>
      </c>
      <c r="K64" s="10" t="s">
        <v>387</v>
      </c>
      <c r="L64" s="10"/>
      <c r="M64" s="10" t="s">
        <v>170</v>
      </c>
      <c r="N64" s="10" t="s">
        <v>388</v>
      </c>
      <c r="O64" s="10"/>
    </row>
    <row r="65" customFormat="false" ht="35.05" hidden="false" customHeight="false" outlineLevel="0" collapsed="false">
      <c r="A65" s="9" t="s">
        <v>193</v>
      </c>
      <c r="B65" s="9" t="s">
        <v>387</v>
      </c>
      <c r="C65" s="9" t="s">
        <v>286</v>
      </c>
      <c r="D65" s="9"/>
      <c r="E65" s="9"/>
      <c r="F65" s="9" t="s">
        <v>170</v>
      </c>
      <c r="G65" s="10" t="s">
        <v>196</v>
      </c>
      <c r="H65" s="10" t="s">
        <v>312</v>
      </c>
      <c r="I65" s="10" t="s">
        <v>313</v>
      </c>
      <c r="J65" s="10" t="s">
        <v>146</v>
      </c>
      <c r="K65" s="10" t="s">
        <v>387</v>
      </c>
      <c r="L65" s="10"/>
      <c r="M65" s="10" t="s">
        <v>170</v>
      </c>
      <c r="N65" s="10" t="s">
        <v>389</v>
      </c>
      <c r="O65" s="10"/>
    </row>
    <row r="66" customFormat="false" ht="35.05" hidden="false" customHeight="false" outlineLevel="0" collapsed="false">
      <c r="A66" s="9" t="s">
        <v>207</v>
      </c>
      <c r="B66" s="9" t="s">
        <v>390</v>
      </c>
      <c r="C66" s="9" t="s">
        <v>286</v>
      </c>
      <c r="D66" s="9"/>
      <c r="E66" s="9"/>
      <c r="F66" s="9" t="s">
        <v>170</v>
      </c>
      <c r="G66" s="10" t="s">
        <v>209</v>
      </c>
      <c r="H66" s="10" t="s">
        <v>312</v>
      </c>
      <c r="I66" s="10" t="s">
        <v>313</v>
      </c>
      <c r="J66" s="10" t="s">
        <v>146</v>
      </c>
      <c r="K66" s="10" t="s">
        <v>390</v>
      </c>
      <c r="L66" s="10"/>
      <c r="M66" s="10" t="s">
        <v>170</v>
      </c>
      <c r="N66" s="10" t="s">
        <v>391</v>
      </c>
      <c r="O66" s="10"/>
    </row>
    <row r="67" customFormat="false" ht="68.65" hidden="false" customHeight="false" outlineLevel="0" collapsed="false">
      <c r="A67" s="9" t="s">
        <v>216</v>
      </c>
      <c r="B67" s="9" t="s">
        <v>392</v>
      </c>
      <c r="C67" s="9" t="s">
        <v>286</v>
      </c>
      <c r="D67" s="9"/>
      <c r="E67" s="9"/>
      <c r="F67" s="9" t="s">
        <v>222</v>
      </c>
      <c r="G67" s="10" t="s">
        <v>219</v>
      </c>
      <c r="H67" s="10" t="s">
        <v>278</v>
      </c>
      <c r="I67" s="10" t="s">
        <v>317</v>
      </c>
      <c r="J67" s="10" t="s">
        <v>280</v>
      </c>
      <c r="K67" s="10" t="s">
        <v>392</v>
      </c>
      <c r="L67" s="10"/>
      <c r="M67" s="10" t="s">
        <v>222</v>
      </c>
      <c r="N67" s="10" t="s">
        <v>393</v>
      </c>
      <c r="O67" s="10"/>
    </row>
    <row r="68" customFormat="false" ht="68.65" hidden="false" customHeight="false" outlineLevel="0" collapsed="false">
      <c r="A68" s="9" t="s">
        <v>216</v>
      </c>
      <c r="B68" s="9" t="s">
        <v>394</v>
      </c>
      <c r="C68" s="9" t="s">
        <v>286</v>
      </c>
      <c r="D68" s="9"/>
      <c r="E68" s="9"/>
      <c r="F68" s="9" t="s">
        <v>222</v>
      </c>
      <c r="G68" s="10" t="s">
        <v>219</v>
      </c>
      <c r="H68" s="10" t="s">
        <v>278</v>
      </c>
      <c r="I68" s="10" t="s">
        <v>317</v>
      </c>
      <c r="J68" s="10" t="s">
        <v>280</v>
      </c>
      <c r="K68" s="10" t="s">
        <v>394</v>
      </c>
      <c r="L68" s="10"/>
      <c r="M68" s="10" t="s">
        <v>222</v>
      </c>
      <c r="N68" s="10" t="s">
        <v>395</v>
      </c>
      <c r="O68" s="10"/>
    </row>
    <row r="69" customFormat="false" ht="23.85" hidden="false" customHeight="false" outlineLevel="0" collapsed="false">
      <c r="A69" s="9" t="s">
        <v>396</v>
      </c>
      <c r="B69" s="9" t="s">
        <v>397</v>
      </c>
      <c r="C69" s="9" t="s">
        <v>286</v>
      </c>
      <c r="D69" s="9"/>
      <c r="E69" s="9"/>
      <c r="F69" s="9" t="s">
        <v>379</v>
      </c>
      <c r="G69" s="10"/>
      <c r="H69" s="10" t="s">
        <v>278</v>
      </c>
      <c r="I69" s="10"/>
      <c r="J69" s="10"/>
      <c r="K69" s="10" t="s">
        <v>397</v>
      </c>
      <c r="L69" s="10"/>
      <c r="M69" s="10" t="s">
        <v>379</v>
      </c>
      <c r="N69" s="10" t="s">
        <v>398</v>
      </c>
      <c r="O69" s="10"/>
    </row>
    <row r="70" customFormat="false" ht="35.05" hidden="false" customHeight="false" outlineLevel="0" collapsed="false">
      <c r="A70" s="9" t="s">
        <v>242</v>
      </c>
      <c r="B70" s="9" t="s">
        <v>399</v>
      </c>
      <c r="C70" s="9" t="s">
        <v>286</v>
      </c>
      <c r="D70" s="9"/>
      <c r="E70" s="9"/>
      <c r="F70" s="9" t="s">
        <v>170</v>
      </c>
      <c r="G70" s="10" t="s">
        <v>244</v>
      </c>
      <c r="H70" s="10" t="s">
        <v>356</v>
      </c>
      <c r="I70" s="10" t="s">
        <v>317</v>
      </c>
      <c r="J70" s="10" t="s">
        <v>280</v>
      </c>
      <c r="K70" s="10" t="s">
        <v>399</v>
      </c>
      <c r="L70" s="10"/>
      <c r="M70" s="10" t="s">
        <v>170</v>
      </c>
      <c r="N70" s="10" t="s">
        <v>400</v>
      </c>
      <c r="O70" s="10"/>
    </row>
    <row r="71" customFormat="false" ht="35.05" hidden="false" customHeight="false" outlineLevel="0" collapsed="false">
      <c r="A71" s="9" t="s">
        <v>207</v>
      </c>
      <c r="B71" s="9" t="s">
        <v>399</v>
      </c>
      <c r="C71" s="9" t="s">
        <v>286</v>
      </c>
      <c r="D71" s="9"/>
      <c r="E71" s="9"/>
      <c r="F71" s="9" t="s">
        <v>170</v>
      </c>
      <c r="G71" s="10" t="s">
        <v>209</v>
      </c>
      <c r="H71" s="10" t="s">
        <v>278</v>
      </c>
      <c r="I71" s="10" t="s">
        <v>345</v>
      </c>
      <c r="J71" s="10" t="s">
        <v>146</v>
      </c>
      <c r="K71" s="10" t="s">
        <v>399</v>
      </c>
      <c r="L71" s="10"/>
      <c r="M71" s="10" t="s">
        <v>170</v>
      </c>
      <c r="N71" s="10" t="s">
        <v>401</v>
      </c>
      <c r="O71" s="10"/>
    </row>
    <row r="72" customFormat="false" ht="35.05" hidden="false" customHeight="false" outlineLevel="0" collapsed="false">
      <c r="A72" s="9" t="s">
        <v>200</v>
      </c>
      <c r="B72" s="9" t="s">
        <v>402</v>
      </c>
      <c r="C72" s="9" t="s">
        <v>286</v>
      </c>
      <c r="D72" s="9"/>
      <c r="E72" s="9"/>
      <c r="F72" s="9" t="s">
        <v>170</v>
      </c>
      <c r="G72" s="10" t="s">
        <v>203</v>
      </c>
      <c r="H72" s="10" t="s">
        <v>301</v>
      </c>
      <c r="I72" s="10" t="s">
        <v>313</v>
      </c>
      <c r="J72" s="10" t="s">
        <v>146</v>
      </c>
      <c r="K72" s="10" t="s">
        <v>402</v>
      </c>
      <c r="L72" s="10"/>
      <c r="M72" s="10" t="s">
        <v>170</v>
      </c>
      <c r="N72" s="10" t="s">
        <v>403</v>
      </c>
      <c r="O72" s="10"/>
    </row>
    <row r="73" customFormat="false" ht="46.25" hidden="false" customHeight="false" outlineLevel="0" collapsed="false">
      <c r="A73" s="9" t="s">
        <v>211</v>
      </c>
      <c r="B73" s="9" t="s">
        <v>404</v>
      </c>
      <c r="C73" s="9" t="s">
        <v>286</v>
      </c>
      <c r="D73" s="9"/>
      <c r="E73" s="9"/>
      <c r="F73" s="9" t="s">
        <v>170</v>
      </c>
      <c r="G73" s="10" t="s">
        <v>213</v>
      </c>
      <c r="H73" s="10" t="s">
        <v>405</v>
      </c>
      <c r="I73" s="10" t="s">
        <v>345</v>
      </c>
      <c r="J73" s="10" t="s">
        <v>146</v>
      </c>
      <c r="K73" s="10" t="s">
        <v>404</v>
      </c>
      <c r="L73" s="10" t="s">
        <v>406</v>
      </c>
      <c r="M73" s="10" t="s">
        <v>170</v>
      </c>
      <c r="N73" s="10" t="s">
        <v>407</v>
      </c>
      <c r="O73" s="10"/>
    </row>
  </sheetData>
  <autoFilter ref="A2:O73"/>
  <mergeCells count="1">
    <mergeCell ref="A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6" min="5" style="0" width="46"/>
    <col collapsed="false" customWidth="true" hidden="false" outlineLevel="0" max="7" min="7" style="0" width="12"/>
    <col collapsed="false" customWidth="true" hidden="false" outlineLevel="0" max="8" min="8" style="0" width="34"/>
  </cols>
  <sheetData>
    <row r="1" customFormat="false" ht="30" hidden="false" customHeight="true" outlineLevel="0" collapsed="false">
      <c r="A1" s="6" t="s">
        <v>408</v>
      </c>
      <c r="B1" s="6"/>
      <c r="C1" s="6"/>
      <c r="D1" s="6"/>
      <c r="E1" s="6"/>
      <c r="F1" s="6"/>
      <c r="G1" s="6"/>
      <c r="H1" s="6"/>
    </row>
    <row r="2" customFormat="false" ht="30" hidden="false" customHeight="true" outlineLevel="0" collapsed="false">
      <c r="A2" s="7" t="s">
        <v>26</v>
      </c>
      <c r="B2" s="7" t="s">
        <v>27</v>
      </c>
      <c r="C2" s="7" t="s">
        <v>269</v>
      </c>
      <c r="D2" s="7" t="s">
        <v>264</v>
      </c>
      <c r="E2" s="7" t="s">
        <v>409</v>
      </c>
      <c r="F2" s="7" t="s">
        <v>31</v>
      </c>
      <c r="G2" s="7" t="s">
        <v>410</v>
      </c>
      <c r="H2" s="7" t="s">
        <v>36</v>
      </c>
    </row>
    <row r="3" customFormat="false" ht="23.85" hidden="false" customHeight="false" outlineLevel="0" collapsed="false">
      <c r="A3" s="8" t="s">
        <v>38</v>
      </c>
      <c r="B3" s="8" t="s">
        <v>39</v>
      </c>
      <c r="C3" s="8" t="s">
        <v>40</v>
      </c>
      <c r="D3" s="8" t="s">
        <v>411</v>
      </c>
      <c r="E3" s="8" t="s">
        <v>412</v>
      </c>
      <c r="F3" s="8" t="s">
        <v>413</v>
      </c>
      <c r="G3" s="8" t="s">
        <v>44</v>
      </c>
      <c r="H3" s="8" t="s">
        <v>414</v>
      </c>
    </row>
    <row r="4" customFormat="false" ht="23.85" hidden="false" customHeight="false" outlineLevel="0" collapsed="false">
      <c r="A4" s="9" t="s">
        <v>415</v>
      </c>
      <c r="B4" s="9" t="s">
        <v>416</v>
      </c>
      <c r="C4" s="9" t="s">
        <v>40</v>
      </c>
      <c r="D4" s="9" t="s">
        <v>320</v>
      </c>
      <c r="E4" s="9" t="s">
        <v>417</v>
      </c>
      <c r="F4" s="9" t="s">
        <v>418</v>
      </c>
      <c r="G4" s="10"/>
      <c r="H4" s="10"/>
    </row>
    <row r="5" customFormat="false" ht="23.85" hidden="false" customHeight="false" outlineLevel="0" collapsed="false">
      <c r="A5" s="9" t="s">
        <v>419</v>
      </c>
      <c r="B5" s="9" t="s">
        <v>420</v>
      </c>
      <c r="C5" s="9" t="s">
        <v>40</v>
      </c>
      <c r="D5" s="9" t="s">
        <v>411</v>
      </c>
      <c r="E5" s="9" t="s">
        <v>421</v>
      </c>
      <c r="F5" s="9" t="s">
        <v>422</v>
      </c>
      <c r="G5" s="10"/>
      <c r="H5" s="10"/>
    </row>
    <row r="6" customFormat="false" ht="23.85" hidden="false" customHeight="false" outlineLevel="0" collapsed="false">
      <c r="A6" s="9" t="s">
        <v>423</v>
      </c>
      <c r="B6" s="9" t="s">
        <v>424</v>
      </c>
      <c r="C6" s="9" t="s">
        <v>40</v>
      </c>
      <c r="D6" s="9" t="s">
        <v>411</v>
      </c>
      <c r="E6" s="9" t="s">
        <v>425</v>
      </c>
      <c r="F6" s="9" t="s">
        <v>426</v>
      </c>
      <c r="G6" s="10"/>
      <c r="H6" s="10"/>
    </row>
    <row r="7" customFormat="false" ht="23.85" hidden="false" customHeight="false" outlineLevel="0" collapsed="false">
      <c r="A7" s="9" t="s">
        <v>427</v>
      </c>
      <c r="B7" s="9" t="s">
        <v>428</v>
      </c>
      <c r="C7" s="9" t="s">
        <v>40</v>
      </c>
      <c r="D7" s="9" t="s">
        <v>411</v>
      </c>
      <c r="E7" s="9" t="s">
        <v>429</v>
      </c>
      <c r="F7" s="9" t="s">
        <v>430</v>
      </c>
      <c r="G7" s="10"/>
      <c r="H7" s="10"/>
    </row>
    <row r="8" customFormat="false" ht="23.85" hidden="false" customHeight="false" outlineLevel="0" collapsed="false">
      <c r="A8" s="9" t="s">
        <v>431</v>
      </c>
      <c r="B8" s="9" t="s">
        <v>432</v>
      </c>
      <c r="C8" s="9" t="s">
        <v>40</v>
      </c>
      <c r="D8" s="9" t="s">
        <v>84</v>
      </c>
      <c r="E8" s="9" t="s">
        <v>433</v>
      </c>
      <c r="F8" s="9" t="s">
        <v>434</v>
      </c>
      <c r="G8" s="10"/>
      <c r="H8" s="10"/>
    </row>
    <row r="9" customFormat="false" ht="23.85" hidden="false" customHeight="false" outlineLevel="0" collapsed="false">
      <c r="A9" s="9" t="s">
        <v>435</v>
      </c>
      <c r="B9" s="9" t="s">
        <v>436</v>
      </c>
      <c r="C9" s="9" t="s">
        <v>40</v>
      </c>
      <c r="D9" s="9" t="s">
        <v>411</v>
      </c>
      <c r="E9" s="9" t="s">
        <v>437</v>
      </c>
      <c r="F9" s="9" t="s">
        <v>438</v>
      </c>
      <c r="G9" s="10"/>
      <c r="H9" s="10"/>
    </row>
    <row r="10" customFormat="false" ht="23.85" hidden="false" customHeight="false" outlineLevel="0" collapsed="false">
      <c r="A10" s="9" t="s">
        <v>439</v>
      </c>
      <c r="B10" s="9" t="s">
        <v>440</v>
      </c>
      <c r="C10" s="9" t="s">
        <v>40</v>
      </c>
      <c r="D10" s="9" t="s">
        <v>441</v>
      </c>
      <c r="E10" s="9" t="s">
        <v>442</v>
      </c>
      <c r="F10" s="9" t="s">
        <v>443</v>
      </c>
      <c r="G10" s="10"/>
      <c r="H10" s="10"/>
    </row>
    <row r="11" customFormat="false" ht="23.85" hidden="false" customHeight="false" outlineLevel="0" collapsed="false">
      <c r="A11" s="9" t="s">
        <v>444</v>
      </c>
      <c r="B11" s="9" t="s">
        <v>445</v>
      </c>
      <c r="C11" s="9" t="s">
        <v>40</v>
      </c>
      <c r="D11" s="9" t="s">
        <v>446</v>
      </c>
      <c r="E11" s="9" t="s">
        <v>447</v>
      </c>
      <c r="F11" s="9" t="s">
        <v>448</v>
      </c>
      <c r="G11" s="10"/>
      <c r="H11" s="10"/>
    </row>
    <row r="12" customFormat="false" ht="23.85" hidden="false" customHeight="false" outlineLevel="0" collapsed="false">
      <c r="A12" s="9" t="s">
        <v>449</v>
      </c>
      <c r="B12" s="9" t="s">
        <v>450</v>
      </c>
      <c r="C12" s="9" t="s">
        <v>40</v>
      </c>
      <c r="D12" s="9" t="s">
        <v>451</v>
      </c>
      <c r="E12" s="9" t="s">
        <v>452</v>
      </c>
      <c r="F12" s="9" t="s">
        <v>453</v>
      </c>
      <c r="G12" s="10"/>
      <c r="H12" s="10"/>
    </row>
    <row r="13" customFormat="false" ht="23.85" hidden="false" customHeight="false" outlineLevel="0" collapsed="false">
      <c r="A13" s="9" t="s">
        <v>454</v>
      </c>
      <c r="B13" s="9" t="s">
        <v>455</v>
      </c>
      <c r="C13" s="9" t="s">
        <v>40</v>
      </c>
      <c r="D13" s="9" t="s">
        <v>411</v>
      </c>
      <c r="E13" s="9" t="s">
        <v>456</v>
      </c>
      <c r="F13" s="9" t="s">
        <v>457</v>
      </c>
      <c r="G13" s="10"/>
      <c r="H13" s="10"/>
    </row>
    <row r="14" customFormat="false" ht="23.85" hidden="false" customHeight="false" outlineLevel="0" collapsed="false">
      <c r="A14" s="9" t="s">
        <v>458</v>
      </c>
      <c r="B14" s="9" t="s">
        <v>459</v>
      </c>
      <c r="C14" s="9" t="s">
        <v>40</v>
      </c>
      <c r="D14" s="9" t="s">
        <v>411</v>
      </c>
      <c r="E14" s="9" t="s">
        <v>460</v>
      </c>
      <c r="F14" s="9" t="s">
        <v>461</v>
      </c>
      <c r="G14" s="10"/>
      <c r="H14" s="10"/>
    </row>
    <row r="15" customFormat="false" ht="23.85" hidden="false" customHeight="false" outlineLevel="0" collapsed="false">
      <c r="A15" s="9" t="s">
        <v>462</v>
      </c>
      <c r="B15" s="9" t="s">
        <v>463</v>
      </c>
      <c r="C15" s="9" t="s">
        <v>40</v>
      </c>
      <c r="D15" s="9" t="s">
        <v>411</v>
      </c>
      <c r="E15" s="9" t="s">
        <v>464</v>
      </c>
      <c r="F15" s="9" t="s">
        <v>465</v>
      </c>
      <c r="G15" s="10"/>
      <c r="H15" s="10"/>
    </row>
    <row r="16" customFormat="false" ht="23.85" hidden="false" customHeight="false" outlineLevel="0" collapsed="false">
      <c r="A16" s="9" t="s">
        <v>466</v>
      </c>
      <c r="B16" s="9" t="s">
        <v>467</v>
      </c>
      <c r="C16" s="9" t="s">
        <v>40</v>
      </c>
      <c r="D16" s="9" t="s">
        <v>468</v>
      </c>
      <c r="E16" s="9" t="s">
        <v>469</v>
      </c>
      <c r="F16" s="9" t="s">
        <v>470</v>
      </c>
      <c r="G16" s="10"/>
      <c r="H16" s="10"/>
    </row>
    <row r="17" customFormat="false" ht="23.85" hidden="false" customHeight="false" outlineLevel="0" collapsed="false">
      <c r="A17" s="9" t="s">
        <v>471</v>
      </c>
      <c r="B17" s="9" t="s">
        <v>472</v>
      </c>
      <c r="C17" s="9" t="s">
        <v>40</v>
      </c>
      <c r="D17" s="9" t="s">
        <v>473</v>
      </c>
      <c r="E17" s="9" t="s">
        <v>474</v>
      </c>
      <c r="F17" s="9" t="s">
        <v>475</v>
      </c>
      <c r="G17" s="10"/>
      <c r="H17" s="10"/>
    </row>
    <row r="18" customFormat="false" ht="23.85" hidden="false" customHeight="false" outlineLevel="0" collapsed="false">
      <c r="A18" s="9" t="s">
        <v>476</v>
      </c>
      <c r="B18" s="9" t="s">
        <v>477</v>
      </c>
      <c r="C18" s="9" t="s">
        <v>40</v>
      </c>
      <c r="D18" s="9" t="s">
        <v>411</v>
      </c>
      <c r="E18" s="9" t="s">
        <v>478</v>
      </c>
      <c r="F18" s="9" t="s">
        <v>479</v>
      </c>
      <c r="G18" s="10"/>
      <c r="H18" s="10"/>
    </row>
    <row r="19" customFormat="false" ht="23.85" hidden="false" customHeight="false" outlineLevel="0" collapsed="false">
      <c r="A19" s="9" t="s">
        <v>480</v>
      </c>
      <c r="B19" s="9" t="s">
        <v>481</v>
      </c>
      <c r="C19" s="9" t="s">
        <v>40</v>
      </c>
      <c r="D19" s="9" t="s">
        <v>482</v>
      </c>
      <c r="E19" s="9" t="s">
        <v>483</v>
      </c>
      <c r="F19" s="9" t="s">
        <v>484</v>
      </c>
      <c r="G19" s="10"/>
      <c r="H19" s="10"/>
    </row>
    <row r="20" customFormat="false" ht="23.85" hidden="false" customHeight="false" outlineLevel="0" collapsed="false">
      <c r="A20" s="9" t="s">
        <v>485</v>
      </c>
      <c r="B20" s="9" t="s">
        <v>486</v>
      </c>
      <c r="C20" s="9" t="s">
        <v>40</v>
      </c>
      <c r="D20" s="9" t="s">
        <v>482</v>
      </c>
      <c r="E20" s="9" t="s">
        <v>487</v>
      </c>
      <c r="F20" s="9" t="s">
        <v>488</v>
      </c>
      <c r="G20" s="10"/>
      <c r="H20" s="10"/>
    </row>
    <row r="21" customFormat="false" ht="23.85" hidden="false" customHeight="false" outlineLevel="0" collapsed="false">
      <c r="A21" s="9" t="s">
        <v>489</v>
      </c>
      <c r="B21" s="9" t="s">
        <v>490</v>
      </c>
      <c r="C21" s="9" t="s">
        <v>40</v>
      </c>
      <c r="D21" s="9" t="s">
        <v>482</v>
      </c>
      <c r="E21" s="9" t="s">
        <v>491</v>
      </c>
      <c r="F21" s="9" t="s">
        <v>492</v>
      </c>
      <c r="G21" s="10"/>
      <c r="H21" s="10"/>
    </row>
    <row r="22" customFormat="false" ht="23.85" hidden="false" customHeight="false" outlineLevel="0" collapsed="false">
      <c r="A22" s="9" t="s">
        <v>493</v>
      </c>
      <c r="B22" s="9" t="s">
        <v>494</v>
      </c>
      <c r="C22" s="9" t="s">
        <v>40</v>
      </c>
      <c r="D22" s="9" t="s">
        <v>482</v>
      </c>
      <c r="E22" s="9" t="s">
        <v>495</v>
      </c>
      <c r="F22" s="9" t="s">
        <v>496</v>
      </c>
      <c r="G22" s="10"/>
      <c r="H22" s="10"/>
    </row>
    <row r="23" customFormat="false" ht="23.85" hidden="false" customHeight="false" outlineLevel="0" collapsed="false">
      <c r="A23" s="9" t="s">
        <v>497</v>
      </c>
      <c r="B23" s="9" t="s">
        <v>498</v>
      </c>
      <c r="C23" s="9" t="s">
        <v>40</v>
      </c>
      <c r="D23" s="9" t="s">
        <v>499</v>
      </c>
      <c r="E23" s="9" t="s">
        <v>500</v>
      </c>
      <c r="F23" s="9" t="s">
        <v>501</v>
      </c>
      <c r="G23" s="10"/>
      <c r="H23" s="10"/>
    </row>
    <row r="24" customFormat="false" ht="35.05" hidden="false" customHeight="false" outlineLevel="0" collapsed="false">
      <c r="A24" s="9"/>
      <c r="B24" s="9" t="s">
        <v>416</v>
      </c>
      <c r="C24" s="9" t="s">
        <v>40</v>
      </c>
      <c r="D24" s="9" t="s">
        <v>502</v>
      </c>
      <c r="E24" s="9" t="s">
        <v>503</v>
      </c>
      <c r="F24" s="9" t="s">
        <v>504</v>
      </c>
      <c r="G24" s="10"/>
      <c r="H24" s="10"/>
    </row>
    <row r="25" customFormat="false" ht="35.05" hidden="false" customHeight="false" outlineLevel="0" collapsed="false">
      <c r="A25" s="9"/>
      <c r="B25" s="9" t="s">
        <v>505</v>
      </c>
      <c r="C25" s="9" t="s">
        <v>40</v>
      </c>
      <c r="D25" s="9" t="s">
        <v>506</v>
      </c>
      <c r="E25" s="9" t="s">
        <v>503</v>
      </c>
      <c r="F25" s="9" t="s">
        <v>507</v>
      </c>
      <c r="G25" s="10"/>
      <c r="H25" s="10"/>
    </row>
    <row r="26" customFormat="false" ht="35.05" hidden="false" customHeight="false" outlineLevel="0" collapsed="false">
      <c r="A26" s="9"/>
      <c r="B26" s="9" t="s">
        <v>508</v>
      </c>
      <c r="C26" s="9" t="s">
        <v>40</v>
      </c>
      <c r="D26" s="9" t="s">
        <v>509</v>
      </c>
      <c r="E26" s="9" t="s">
        <v>503</v>
      </c>
      <c r="F26" s="9" t="s">
        <v>510</v>
      </c>
      <c r="G26" s="10"/>
      <c r="H26" s="10"/>
    </row>
    <row r="27" customFormat="false" ht="35.05" hidden="false" customHeight="false" outlineLevel="0" collapsed="false">
      <c r="A27" s="9"/>
      <c r="B27" s="9" t="s">
        <v>432</v>
      </c>
      <c r="C27" s="9" t="s">
        <v>40</v>
      </c>
      <c r="D27" s="9" t="s">
        <v>511</v>
      </c>
      <c r="E27" s="9" t="s">
        <v>503</v>
      </c>
      <c r="F27" s="9" t="s">
        <v>512</v>
      </c>
      <c r="G27" s="10"/>
      <c r="H27" s="10"/>
    </row>
    <row r="28" customFormat="false" ht="35.05" hidden="false" customHeight="false" outlineLevel="0" collapsed="false">
      <c r="A28" s="9"/>
      <c r="B28" s="9" t="s">
        <v>481</v>
      </c>
      <c r="C28" s="9" t="s">
        <v>40</v>
      </c>
      <c r="D28" s="9" t="s">
        <v>307</v>
      </c>
      <c r="E28" s="9" t="s">
        <v>503</v>
      </c>
      <c r="F28" s="9" t="s">
        <v>513</v>
      </c>
      <c r="G28" s="10"/>
      <c r="H28" s="10"/>
    </row>
    <row r="29" customFormat="false" ht="35.05" hidden="false" customHeight="false" outlineLevel="0" collapsed="false">
      <c r="A29" s="9"/>
      <c r="B29" s="9" t="s">
        <v>440</v>
      </c>
      <c r="C29" s="9" t="s">
        <v>40</v>
      </c>
      <c r="D29" s="9" t="s">
        <v>509</v>
      </c>
      <c r="E29" s="9" t="s">
        <v>503</v>
      </c>
      <c r="F29" s="9" t="s">
        <v>514</v>
      </c>
      <c r="G29" s="10"/>
      <c r="H29" s="10"/>
    </row>
    <row r="30" customFormat="false" ht="35.05" hidden="false" customHeight="false" outlineLevel="0" collapsed="false">
      <c r="A30" s="9"/>
      <c r="B30" s="9" t="s">
        <v>515</v>
      </c>
      <c r="C30" s="9" t="s">
        <v>40</v>
      </c>
      <c r="D30" s="9" t="s">
        <v>516</v>
      </c>
      <c r="E30" s="9" t="s">
        <v>503</v>
      </c>
      <c r="F30" s="9" t="s">
        <v>517</v>
      </c>
      <c r="G30" s="10"/>
      <c r="H30" s="10"/>
    </row>
    <row r="31" customFormat="false" ht="35.05" hidden="false" customHeight="false" outlineLevel="0" collapsed="false">
      <c r="A31" s="9"/>
      <c r="B31" s="9" t="s">
        <v>486</v>
      </c>
      <c r="C31" s="9" t="s">
        <v>40</v>
      </c>
      <c r="D31" s="9" t="s">
        <v>307</v>
      </c>
      <c r="E31" s="9" t="s">
        <v>503</v>
      </c>
      <c r="F31" s="9" t="s">
        <v>518</v>
      </c>
      <c r="G31" s="10"/>
      <c r="H31" s="10"/>
    </row>
    <row r="32" customFormat="false" ht="35.05" hidden="false" customHeight="false" outlineLevel="0" collapsed="false">
      <c r="A32" s="9"/>
      <c r="B32" s="9" t="s">
        <v>519</v>
      </c>
      <c r="C32" s="9" t="s">
        <v>40</v>
      </c>
      <c r="D32" s="9" t="s">
        <v>506</v>
      </c>
      <c r="E32" s="9" t="s">
        <v>503</v>
      </c>
      <c r="F32" s="9" t="s">
        <v>520</v>
      </c>
      <c r="G32" s="10"/>
      <c r="H32" s="10"/>
    </row>
    <row r="33" customFormat="false" ht="35.05" hidden="false" customHeight="false" outlineLevel="0" collapsed="false">
      <c r="A33" s="9"/>
      <c r="B33" s="9" t="s">
        <v>521</v>
      </c>
      <c r="C33" s="9" t="s">
        <v>40</v>
      </c>
      <c r="D33" s="9" t="s">
        <v>499</v>
      </c>
      <c r="E33" s="9" t="s">
        <v>503</v>
      </c>
      <c r="F33" s="9" t="s">
        <v>522</v>
      </c>
      <c r="G33" s="10"/>
      <c r="H33" s="10"/>
    </row>
    <row r="34" customFormat="false" ht="35.05" hidden="false" customHeight="false" outlineLevel="0" collapsed="false">
      <c r="A34" s="9"/>
      <c r="B34" s="9" t="s">
        <v>523</v>
      </c>
      <c r="C34" s="9" t="s">
        <v>40</v>
      </c>
      <c r="D34" s="9" t="s">
        <v>307</v>
      </c>
      <c r="E34" s="9" t="s">
        <v>503</v>
      </c>
      <c r="F34" s="9" t="s">
        <v>524</v>
      </c>
      <c r="G34" s="10"/>
      <c r="H34" s="10"/>
    </row>
    <row r="35" customFormat="false" ht="35.05" hidden="false" customHeight="false" outlineLevel="0" collapsed="false">
      <c r="A35" s="9"/>
      <c r="B35" s="9" t="s">
        <v>494</v>
      </c>
      <c r="C35" s="9" t="s">
        <v>40</v>
      </c>
      <c r="D35" s="9" t="s">
        <v>307</v>
      </c>
      <c r="E35" s="9" t="s">
        <v>503</v>
      </c>
      <c r="F35" s="9" t="s">
        <v>525</v>
      </c>
      <c r="G35" s="10"/>
      <c r="H35" s="10"/>
    </row>
    <row r="36" customFormat="false" ht="35.05" hidden="false" customHeight="false" outlineLevel="0" collapsed="false">
      <c r="A36" s="9"/>
      <c r="B36" s="9" t="s">
        <v>526</v>
      </c>
      <c r="C36" s="9" t="s">
        <v>40</v>
      </c>
      <c r="D36" s="9" t="s">
        <v>499</v>
      </c>
      <c r="E36" s="9" t="s">
        <v>503</v>
      </c>
      <c r="F36" s="9" t="s">
        <v>527</v>
      </c>
      <c r="G36" s="10"/>
      <c r="H36" s="10"/>
    </row>
    <row r="37" customFormat="false" ht="35.05" hidden="false" customHeight="false" outlineLevel="0" collapsed="false">
      <c r="A37" s="9"/>
      <c r="B37" s="9" t="s">
        <v>445</v>
      </c>
      <c r="C37" s="9" t="s">
        <v>40</v>
      </c>
      <c r="D37" s="9" t="s">
        <v>499</v>
      </c>
      <c r="E37" s="9" t="s">
        <v>503</v>
      </c>
      <c r="F37" s="9" t="s">
        <v>528</v>
      </c>
      <c r="G37" s="10"/>
      <c r="H37" s="10"/>
    </row>
    <row r="38" customFormat="false" ht="35.05" hidden="false" customHeight="false" outlineLevel="0" collapsed="false">
      <c r="A38" s="9"/>
      <c r="B38" s="9" t="s">
        <v>455</v>
      </c>
      <c r="C38" s="9" t="s">
        <v>40</v>
      </c>
      <c r="D38" s="9" t="s">
        <v>529</v>
      </c>
      <c r="E38" s="9" t="s">
        <v>503</v>
      </c>
      <c r="F38" s="9" t="s">
        <v>530</v>
      </c>
      <c r="G38" s="10"/>
      <c r="H38" s="10"/>
    </row>
    <row r="39" customFormat="false" ht="35.05" hidden="false" customHeight="false" outlineLevel="0" collapsed="false">
      <c r="A39" s="9"/>
      <c r="B39" s="9" t="s">
        <v>531</v>
      </c>
      <c r="C39" s="9" t="s">
        <v>40</v>
      </c>
      <c r="D39" s="9" t="s">
        <v>509</v>
      </c>
      <c r="E39" s="9" t="s">
        <v>503</v>
      </c>
      <c r="F39" s="9" t="s">
        <v>532</v>
      </c>
      <c r="G39" s="10"/>
      <c r="H39" s="10"/>
    </row>
    <row r="40" customFormat="false" ht="35.05" hidden="false" customHeight="false" outlineLevel="0" collapsed="false">
      <c r="A40" s="9"/>
      <c r="B40" s="9" t="s">
        <v>112</v>
      </c>
      <c r="C40" s="9" t="s">
        <v>40</v>
      </c>
      <c r="D40" s="9" t="s">
        <v>499</v>
      </c>
      <c r="E40" s="9" t="s">
        <v>503</v>
      </c>
      <c r="F40" s="9" t="s">
        <v>533</v>
      </c>
      <c r="G40" s="10"/>
      <c r="H40" s="10"/>
    </row>
  </sheetData>
  <autoFilter ref="A2:H40"/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60"/>
    <col collapsed="false" customWidth="true" hidden="false" outlineLevel="0" max="5" min="5" style="0" width="10"/>
    <col collapsed="false" customWidth="true" hidden="false" outlineLevel="0" max="6" min="6" style="0" width="30"/>
  </cols>
  <sheetData>
    <row r="1" customFormat="false" ht="30" hidden="false" customHeight="true" outlineLevel="0" collapsed="false">
      <c r="A1" s="6" t="s">
        <v>534</v>
      </c>
      <c r="B1" s="6"/>
      <c r="C1" s="6"/>
      <c r="D1" s="6"/>
      <c r="E1" s="6"/>
      <c r="F1" s="6"/>
    </row>
    <row r="2" customFormat="false" ht="30" hidden="false" customHeight="true" outlineLevel="0" collapsed="false">
      <c r="A2" s="7" t="s">
        <v>535</v>
      </c>
      <c r="B2" s="7" t="s">
        <v>536</v>
      </c>
      <c r="C2" s="7" t="s">
        <v>537</v>
      </c>
      <c r="D2" s="7" t="s">
        <v>538</v>
      </c>
      <c r="E2" s="7" t="s">
        <v>539</v>
      </c>
      <c r="F2" s="7" t="s">
        <v>36</v>
      </c>
    </row>
    <row r="3" customFormat="false" ht="15" hidden="false" customHeight="false" outlineLevel="0" collapsed="false">
      <c r="A3" s="8" t="s">
        <v>38</v>
      </c>
      <c r="B3" s="8" t="s">
        <v>540</v>
      </c>
      <c r="C3" s="8" t="s">
        <v>541</v>
      </c>
      <c r="D3" s="8" t="s">
        <v>542</v>
      </c>
      <c r="E3" s="8" t="s">
        <v>146</v>
      </c>
      <c r="F3" s="8"/>
    </row>
    <row r="4" customFormat="false" ht="35.05" hidden="false" customHeight="false" outlineLevel="0" collapsed="false">
      <c r="A4" s="9" t="s">
        <v>543</v>
      </c>
      <c r="B4" s="9" t="s">
        <v>540</v>
      </c>
      <c r="C4" s="9" t="s">
        <v>544</v>
      </c>
      <c r="D4" s="9" t="s">
        <v>545</v>
      </c>
      <c r="E4" s="10"/>
      <c r="F4" s="10"/>
    </row>
    <row r="5" customFormat="false" ht="35.05" hidden="false" customHeight="false" outlineLevel="0" collapsed="false">
      <c r="A5" s="9" t="s">
        <v>546</v>
      </c>
      <c r="B5" s="9" t="s">
        <v>540</v>
      </c>
      <c r="C5" s="9" t="s">
        <v>547</v>
      </c>
      <c r="D5" s="9" t="s">
        <v>548</v>
      </c>
      <c r="E5" s="10"/>
      <c r="F5" s="10"/>
    </row>
    <row r="6" customFormat="false" ht="57.45" hidden="false" customHeight="false" outlineLevel="0" collapsed="false">
      <c r="A6" s="9" t="s">
        <v>549</v>
      </c>
      <c r="B6" s="9" t="s">
        <v>540</v>
      </c>
      <c r="C6" s="9" t="s">
        <v>550</v>
      </c>
      <c r="D6" s="9" t="s">
        <v>551</v>
      </c>
      <c r="E6" s="10"/>
      <c r="F6" s="10"/>
    </row>
    <row r="7" customFormat="false" ht="23.85" hidden="false" customHeight="false" outlineLevel="0" collapsed="false">
      <c r="A7" s="9" t="s">
        <v>552</v>
      </c>
      <c r="B7" s="9" t="s">
        <v>540</v>
      </c>
      <c r="C7" s="9" t="s">
        <v>553</v>
      </c>
      <c r="D7" s="9" t="s">
        <v>554</v>
      </c>
      <c r="E7" s="10"/>
      <c r="F7" s="10"/>
    </row>
    <row r="8" customFormat="false" ht="35.05" hidden="false" customHeight="false" outlineLevel="0" collapsed="false">
      <c r="A8" s="9" t="s">
        <v>555</v>
      </c>
      <c r="B8" s="9" t="s">
        <v>540</v>
      </c>
      <c r="C8" s="9" t="s">
        <v>556</v>
      </c>
      <c r="D8" s="9" t="s">
        <v>557</v>
      </c>
      <c r="E8" s="10"/>
      <c r="F8" s="10"/>
    </row>
    <row r="9" customFormat="false" ht="35.05" hidden="false" customHeight="false" outlineLevel="0" collapsed="false">
      <c r="A9" s="9" t="s">
        <v>558</v>
      </c>
      <c r="B9" s="9" t="s">
        <v>559</v>
      </c>
      <c r="C9" s="9" t="s">
        <v>560</v>
      </c>
      <c r="D9" s="9" t="s">
        <v>561</v>
      </c>
      <c r="E9" s="10"/>
      <c r="F9" s="10"/>
    </row>
    <row r="10" customFormat="false" ht="35.05" hidden="false" customHeight="false" outlineLevel="0" collapsed="false">
      <c r="A10" s="9" t="s">
        <v>562</v>
      </c>
      <c r="B10" s="9" t="s">
        <v>563</v>
      </c>
      <c r="C10" s="9" t="s">
        <v>564</v>
      </c>
      <c r="D10" s="9" t="s">
        <v>565</v>
      </c>
      <c r="E10" s="10"/>
      <c r="F10" s="10"/>
    </row>
    <row r="11" customFormat="false" ht="57.45" hidden="false" customHeight="false" outlineLevel="0" collapsed="false">
      <c r="A11" s="9" t="s">
        <v>566</v>
      </c>
      <c r="B11" s="9" t="s">
        <v>567</v>
      </c>
      <c r="C11" s="9" t="s">
        <v>568</v>
      </c>
      <c r="D11" s="9" t="s">
        <v>569</v>
      </c>
      <c r="E11" s="10"/>
      <c r="F11" s="10"/>
    </row>
    <row r="12" customFormat="false" ht="23.85" hidden="false" customHeight="false" outlineLevel="0" collapsed="false">
      <c r="A12" s="9" t="s">
        <v>340</v>
      </c>
      <c r="B12" s="9" t="s">
        <v>570</v>
      </c>
      <c r="C12" s="9" t="s">
        <v>571</v>
      </c>
      <c r="D12" s="9" t="s">
        <v>572</v>
      </c>
      <c r="E12" s="10"/>
      <c r="F12" s="10"/>
    </row>
  </sheetData>
  <autoFilter ref="A2:F12"/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2026-08-24T01:15:35Z</dcterms:created>
  <dc:creator>openpyxl</dc:creator>
  <dc:description/>
  <dc:language>en-US</dc:language>
  <cp:lastModifiedBy/>
  <dcterms:modified xsi:type="dcterms:W3CDTF">2026-08-24T01:15:35Z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