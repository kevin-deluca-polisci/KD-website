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 · dates to verify" sheetId="2" state="visible" r:id="rId4"/>
    <sheet name="B · redistricting plans" sheetId="3" state="visible" r:id="rId5"/>
    <sheet name="C · redistricting events" sheetId="4" state="visible" r:id="rId6"/>
    <sheet name="D · confirm my drops" sheetId="5" state="visible" r:id="rId7"/>
    <sheet name="E · only you can get this" sheetId="6" state="visible" r:id="rId8"/>
  </sheets>
  <definedNames>
    <definedName function="false" hidden="true" localSheetId="1" name="_xlnm._FilterDatabase" vbProcedure="false">'A · dates to verify'!$A$2:$K$13</definedName>
    <definedName function="false" hidden="true" localSheetId="2" name="_xlnm._FilterDatabase" vbProcedure="false">'B · redistricting plans'!$A$2:$L$17</definedName>
    <definedName function="false" hidden="true" localSheetId="3" name="_xlnm._FilterDatabase" vbProcedure="false">'C · redistricting events'!$A$2:$N$31</definedName>
    <definedName function="false" hidden="true" localSheetId="4" name="_xlnm._FilterDatabase" vbProcedure="false">'D · confirm my drops'!$A$2:$H$40</definedName>
    <definedName function="false" hidden="true" localSheetId="5" name="_xlnm._FilterDatabase" vbProcedure="false">'E · only you can get this'!$A$2:$H$11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<sst xmlns="http://schemas.openxmlformats.org/spreadsheetml/2006/main" count="634" uniqueCount="367">
  <si>
    <t xml:space="preserve">Conditions worklist</t>
  </si>
  <si>
    <t xml:space="preserve">What this is</t>
  </si>
  <si>
    <t xml:space="preserve">Everything the 2026 archive still needs from a human, in one place. Generated from 579 days of Wikipedia revisions, audited, and sorted so the bulk work is first and the judgement calls are small.</t>
  </si>
  <si>
    <t xml:space="preserve">How to use it</t>
  </si>
  <si>
    <t xml:space="preserve">YELLOW cells are yours to fill in. GREY cells are context — what we extracted and what the page actually said. Each sheet has one italic example row at the top; delete it before returning the file.</t>
  </si>
  <si>
    <t xml:space="preserve">The one rule</t>
  </si>
  <si>
    <t xml:space="preserve">known_by = when it became public. event_date = when it happened. They are different, and models read known_by, because nobody could act on a fact before it was published. Never copy one into the other.</t>
  </si>
  <si>
    <t xml:space="preserve">A · dates to verify</t>
  </si>
  <si>
    <t xml:space="preserve">10 rows the machine could not settle: four seats with two names for one member, three dates that are upper bounds, three one-day entries. The smallest sheet and the most valuable.</t>
  </si>
  <si>
    <t xml:space="preserve">B · redistricting plans</t>
  </si>
  <si>
    <t xml:space="preserve">14 states. Names the plans so sheet C has something to point at.</t>
  </si>
  <si>
    <t xml:space="preserve">C · redistricting events</t>
  </si>
  <si>
    <t xml:space="preserve">28 dated status rows, of which 11 are real transitions.</t>
  </si>
  <si>
    <t xml:space="preserve">D · confirm my drops</t>
  </si>
  <si>
    <t xml:space="preserve">37 rows I think are duplicates or consequences. Scanning, not typing.</t>
  </si>
  <si>
    <t xml:space="preserve">E · only you can get this</t>
  </si>
  <si>
    <t xml:space="preserve">8 asks that are not in any archive. The district baselines are the blocker; the rest are minutes each.</t>
  </si>
  <si>
    <t xml:space="preserve">Where the data came from</t>
  </si>
  <si>
    <t xml:space="preserve">forecast/collect/wiki_firstseen.py reads the stored revisions and writes conditions/drafts/. conditions_audit.py flags the rows. Both re-run any time; this workbook is a snapshot of one run.</t>
  </si>
  <si>
    <t xml:space="preserve">What it cannot tell you</t>
  </si>
  <si>
    <t xml:space="preserve">Wikipedia dates the EDIT, not the event. Median lag in this run looks like a day, but the rows in sheet A are the ones where it is worse, or where the fact was already on the page before we started watching and the true date is earlier than anything we hold.</t>
  </si>
  <si>
    <t xml:space="preserve">Progress</t>
  </si>
  <si>
    <t xml:space="preserve">The rows where the machine cannot settle it. Ten of 128. Fill the yellow columns; grey is context. `event_date` is when it HAPPENED — leave it blank rather than copying our date, which is only when the page said so.</t>
  </si>
  <si>
    <t xml:space="preserve">person</t>
  </si>
  <si>
    <t xml:space="preserve">race_id</t>
  </si>
  <si>
    <t xml:space="preserve">event_type (ours)</t>
  </si>
  <si>
    <t xml:space="preserve">known_by (ours)</t>
  </si>
  <si>
    <t xml:space="preserve">why this is here</t>
  </si>
  <si>
    <t xml:space="preserve">what the page said</t>
  </si>
  <si>
    <t xml:space="preserve">keep or drop</t>
  </si>
  <si>
    <t xml:space="preserve">event_type (yours)</t>
  </si>
  <si>
    <t xml:space="preserve">event_date</t>
  </si>
  <si>
    <t xml:space="preserve">source_url</t>
  </si>
  <si>
    <t xml:space="preserve">notes</t>
  </si>
  <si>
    <t xml:space="preserve">EXAMPLE — delete this row</t>
  </si>
  <si>
    <t xml:space="preserve">HOU_OH_05_2026</t>
  </si>
  <si>
    <t xml:space="preserve">retiring</t>
  </si>
  <si>
    <t xml:space="preserve">2025-06-14</t>
  </si>
  <si>
    <t xml:space="preserve">already on the page on day one</t>
  </si>
  <si>
    <t xml:space="preserve">#OH-5: Jane Doe is retiring.</t>
  </si>
  <si>
    <t xml:space="preserve">keep</t>
  </si>
  <si>
    <t xml:space="preserve">seeking_other_office</t>
  </si>
  <si>
    <t xml:space="preserve">2025-06-11</t>
  </si>
  <si>
    <t xml:space="preserve">https://example.org/press</t>
  </si>
  <si>
    <t xml:space="preserve">announced at a county dinner, reported next morning</t>
  </si>
  <si>
    <t xml:space="preserve">Raúl Grijalva</t>
  </si>
  <si>
    <t xml:space="preserve">HOU_AZ_07_2026</t>
  </si>
  <si>
    <t xml:space="preserve">2025-01-20</t>
  </si>
  <si>
    <t xml:space="preserve">already on the page when we started watching — the real date is EARLIER. Needs a primary source or the row goes</t>
  </si>
  <si>
    <t xml:space="preserve"># AZ-7: Raúl Grijalva is retiring.</t>
  </si>
  <si>
    <t xml:space="preserve">Cory Mills</t>
  </si>
  <si>
    <t xml:space="preserve">HOU_FL_07_2026</t>
  </si>
  <si>
    <t xml:space="preserve">merge — keep this date, take the lost_primary type from 2026-08-19</t>
  </si>
  <si>
    <t xml:space="preserve"># FL-7: Cory Mills is retiring to run for U.S. Senate.</t>
  </si>
  <si>
    <t xml:space="preserve">Danny K. Davis</t>
  </si>
  <si>
    <t xml:space="preserve">HOU_IL_07_2026</t>
  </si>
  <si>
    <t xml:space="preserve">2025-07-30</t>
  </si>
  <si>
    <t xml:space="preserve">two names for this seat and event type: Danny Davis, Danny K. Davis — one is a misread table cell</t>
  </si>
  <si>
    <t xml:space="preserve"># IL-7: Danny K. Davis is retiring.</t>
  </si>
  <si>
    <t xml:space="preserve">Danny Davis</t>
  </si>
  <si>
    <t xml:space="preserve">2025-08-01</t>
  </si>
  <si>
    <t xml:space="preserve"># IL-7: Danny Davis is retiring.</t>
  </si>
  <si>
    <t xml:space="preserve">Al Green</t>
  </si>
  <si>
    <t xml:space="preserve">HOU_TX_09_2026</t>
  </si>
  <si>
    <t xml:space="preserve">2025-09-02</t>
  </si>
  <si>
    <t xml:space="preserve">visible for a single day. Usually a reworded entry that left a stale twin behind</t>
  </si>
  <si>
    <t xml:space="preserve"># TX-9: Al Green is retiring due to redistricting.</t>
  </si>
  <si>
    <t xml:space="preserve">Tim Walz</t>
  </si>
  <si>
    <t xml:space="preserve">GOV_MN_2026</t>
  </si>
  <si>
    <t xml:space="preserve">2026-01-05</t>
  </si>
  <si>
    <t xml:space="preserve">two names for this seat and event type: Peggy Bennett, Tim Walz — one is a misread table cell</t>
  </si>
  <si>
    <t xml:space="preserve">! Minnesota | Tim | Walz (retiring) | data-sort-value="-52.3" | 52.27% DFL</t>
  </si>
  <si>
    <t xml:space="preserve">Peggy Bennett</t>
  </si>
  <si>
    <t xml:space="preserve">2026-01-07</t>
  </si>
  <si>
    <t xml:space="preserve">! Minnesota | Tim | Walz | DFL | 2018 | data-sort-value=-52.3 | 52.3% DFL | Incumbent retiring | nowrap | {{Plainlist | * Peggy Bennett (Republican)</t>
  </si>
  <si>
    <t xml:space="preserve">Sharice Davids</t>
  </si>
  <si>
    <t xml:space="preserve">HOU_KS_03_2026</t>
  </si>
  <si>
    <t xml:space="preserve">2026-02-07</t>
  </si>
  <si>
    <t xml:space="preserve">! KS-3 | Sharice | Davids (retiring) | data-sort-value=-53.4 | 53.4% D</t>
  </si>
  <si>
    <t xml:space="preserve">Tony Gonzales</t>
  </si>
  <si>
    <t xml:space="preserve">HOU_TX_23_2026</t>
  </si>
  <si>
    <t xml:space="preserve">2026-03-06</t>
  </si>
  <si>
    <t xml:space="preserve">merge — keep this date, take the withdrew type from 2026-03-14</t>
  </si>
  <si>
    <t xml:space="preserve"># TX-23: Tony Gonzales is retiring.</t>
  </si>
  <si>
    <t xml:space="preserve">withdrew</t>
  </si>
  <si>
    <t xml:space="preserve">2026-03-14</t>
  </si>
  <si>
    <t xml:space="preserve"># TX-23: Tony Gonzales was originally set to run in a runoff, but he withdrew.</t>
  </si>
  <si>
    <t xml:space="preserve">One row per state whose redistricting status moved at all. `plan_id` is the join key for sheet C — use STATE-YYYY-shortname, e.g. TX-2026-hb1. `baseline_file` names the per-district PVI file in the PRIVATE repo; no baseline numbers go in this workbook.</t>
  </si>
  <si>
    <t xml:space="preserve">state</t>
  </si>
  <si>
    <t xml:space="preserve">first status we saw</t>
  </si>
  <si>
    <t xml:space="preserve">latest status we saw</t>
  </si>
  <si>
    <t xml:space="preserve">status changes</t>
  </si>
  <si>
    <t xml:space="preserve">plan_id</t>
  </si>
  <si>
    <t xml:space="preserve">plan_name</t>
  </si>
  <si>
    <t xml:space="preserve">proposer</t>
  </si>
  <si>
    <t xml:space="preserve">n_districts_changed</t>
  </si>
  <si>
    <t xml:space="preserve">est_net_seat_shift_R</t>
  </si>
  <si>
    <t xml:space="preserve">shift_source</t>
  </si>
  <si>
    <t xml:space="preserve">baseline_file</t>
  </si>
  <si>
    <t xml:space="preserve">2025-07-31 · Pending legislative action</t>
  </si>
  <si>
    <t xml:space="preserve">2025-08-29 · Litigation pending</t>
  </si>
  <si>
    <t xml:space="preserve">TX-2026-hb1</t>
  </si>
  <si>
    <t xml:space="preserve">House Bill 1 (2025 special session)</t>
  </si>
  <si>
    <t xml:space="preserve">legislature</t>
  </si>
  <si>
    <t xml:space="preserve">Cook Political Report</t>
  </si>
  <si>
    <t xml:space="preserve">pvi_TX_2026_hb1.csv</t>
  </si>
  <si>
    <t xml:space="preserve">signed 2025-08-22, enjoined 2025-08-29</t>
  </si>
  <si>
    <t xml:space="preserve">AR</t>
  </si>
  <si>
    <t xml:space="preserve">2025-07-31 · Previous districts left in place</t>
  </si>
  <si>
    <t xml:space="preserve">2025-10-24 · Districts left in place</t>
  </si>
  <si>
    <t xml:space="preserve">CA</t>
  </si>
  <si>
    <t xml:space="preserve">2025-08-09 · Pending legislative action</t>
  </si>
  <si>
    <t xml:space="preserve">2025-11-05 · New districts enacted</t>
  </si>
  <si>
    <t xml:space="preserve">FL</t>
  </si>
  <si>
    <t xml:space="preserve">2025-11-16 · Districts left in place</t>
  </si>
  <si>
    <t xml:space="preserve">GA</t>
  </si>
  <si>
    <t xml:space="preserve">2025-07-31 · Litigation pending</t>
  </si>
  <si>
    <t xml:space="preserve">IN</t>
  </si>
  <si>
    <t xml:space="preserve">2025-10-27 · Pending legislative action</t>
  </si>
  <si>
    <t xml:space="preserve">LA</t>
  </si>
  <si>
    <t xml:space="preserve">2025-10-14 · Litigation pending</t>
  </si>
  <si>
    <t xml:space="preserve">MO</t>
  </si>
  <si>
    <t xml:space="preserve">2025-11-04 · New districts enacted</t>
  </si>
  <si>
    <t xml:space="preserve">NY</t>
  </si>
  <si>
    <t xml:space="preserve">2025-10-30 · Pending judicial action</t>
  </si>
  <si>
    <t xml:space="preserve">2025-11-01 · Litigation pending</t>
  </si>
  <si>
    <t xml:space="preserve">OH</t>
  </si>
  <si>
    <t xml:space="preserve">2025-08-29 · Pending legislative action</t>
  </si>
  <si>
    <t xml:space="preserve">2025-10-31 · New districts enacted</t>
  </si>
  <si>
    <t xml:space="preserve">SC</t>
  </si>
  <si>
    <t xml:space="preserve">2025-08-30 · Litigation pending</t>
  </si>
  <si>
    <t xml:space="preserve">TX</t>
  </si>
  <si>
    <t xml:space="preserve">UT</t>
  </si>
  <si>
    <t xml:space="preserve">2025-08-26 · Pending legislative action</t>
  </si>
  <si>
    <t xml:space="preserve">VA</t>
  </si>
  <si>
    <t xml:space="preserve">2025-10-23 · Pending legislative action</t>
  </si>
  <si>
    <t xml:space="preserve">WI</t>
  </si>
  <si>
    <t xml:space="preserve">2025-10-01 · Litigation pending</t>
  </si>
  <si>
    <t xml:space="preserve">Every dated move in the Wikipedia status table. `kind = CHANGE` is a real transition; `status we inherited` is what a state already showed when we started watching, so it is NOT an event; `wording change?` is probably nothing. Map `status after (page's words)` onto our vocabulary: proposed · enacted · enjoined · dead · in_effect.</t>
  </si>
  <si>
    <t xml:space="preserve">kind</t>
  </si>
  <si>
    <t xml:space="preserve">status before</t>
  </si>
  <si>
    <t xml:space="preserve">status after (page's words)</t>
  </si>
  <si>
    <t xml:space="preserve">date error bar (days)</t>
  </si>
  <si>
    <t xml:space="preserve">event_type</t>
  </si>
  <si>
    <t xml:space="preserve">status_after</t>
  </si>
  <si>
    <t xml:space="preserve">in_effect_for_2026</t>
  </si>
  <si>
    <t xml:space="preserve">court_case</t>
  </si>
  <si>
    <t xml:space="preserve">2025-08-29</t>
  </si>
  <si>
    <t xml:space="preserve">CHANGE</t>
  </si>
  <si>
    <t xml:space="preserve">Pending legislative action and litigation pending</t>
  </si>
  <si>
    <t xml:space="preserve">Litigation pending</t>
  </si>
  <si>
    <t xml:space="preserve">court_ruling</t>
  </si>
  <si>
    <t xml:space="preserve">enjoined</t>
  </si>
  <si>
    <t xml:space="preserve">no</t>
  </si>
  <si>
    <t xml:space="preserve">2025-08-28</t>
  </si>
  <si>
    <t xml:space="preserve">LULAC v. Texas</t>
  </si>
  <si>
    <t xml:space="preserve">https://example.org/order.pdf</t>
  </si>
  <si>
    <t xml:space="preserve">three-judge panel, stayed pending appeal</t>
  </si>
  <si>
    <t xml:space="preserve">2025-07-31</t>
  </si>
  <si>
    <t xml:space="preserve">status we inherited</t>
  </si>
  <si>
    <t xml:space="preserve">Previous districts left in place</t>
  </si>
  <si>
    <t xml:space="preserve">1</t>
  </si>
  <si>
    <t xml:space="preserve">2025-10-24</t>
  </si>
  <si>
    <t xml:space="preserve">wording change?</t>
  </si>
  <si>
    <t xml:space="preserve">Districts left in place</t>
  </si>
  <si>
    <t xml:space="preserve">2025-08-09</t>
  </si>
  <si>
    <t xml:space="preserve">Pending legislative action</t>
  </si>
  <si>
    <t xml:space="preserve">2025-08-17</t>
  </si>
  <si>
    <t xml:space="preserve">Pending legislative action and referendum</t>
  </si>
  <si>
    <t xml:space="preserve">2025-08-21</t>
  </si>
  <si>
    <t xml:space="preserve">Pending referendum</t>
  </si>
  <si>
    <t xml:space="preserve">2025-11-05</t>
  </si>
  <si>
    <t xml:space="preserve">New districts enacted</t>
  </si>
  <si>
    <t xml:space="preserve">2025-11-16</t>
  </si>
  <si>
    <t xml:space="preserve">2025-10-27</t>
  </si>
  <si>
    <t xml:space="preserve">2025-10-14</t>
  </si>
  <si>
    <t xml:space="preserve">2025-11-04</t>
  </si>
  <si>
    <t xml:space="preserve">2025-10-30</t>
  </si>
  <si>
    <t xml:space="preserve">Pending judicial action</t>
  </si>
  <si>
    <t xml:space="preserve">2025-11-01</t>
  </si>
  <si>
    <t xml:space="preserve">2025-10-31</t>
  </si>
  <si>
    <t xml:space="preserve">2025-08-30</t>
  </si>
  <si>
    <t xml:space="preserve">2025-09-17</t>
  </si>
  <si>
    <t xml:space="preserve">2025-08-26</t>
  </si>
  <si>
    <t xml:space="preserve">2025-10-23</t>
  </si>
  <si>
    <t xml:space="preserve">2025-10-01</t>
  </si>
  <si>
    <t xml:space="preserve">Rows I think should not become events. Two kinds: a generic '(retiring)' from the ratings page that a better row already covers with a reason and an earlier date, and the ratings page marking a seat open, which is a consequence of the announcement rather than the announcement. Scan and write `keep` on anything you disagree with; blank means you agree.</t>
  </si>
  <si>
    <t xml:space="preserve">known_by</t>
  </si>
  <si>
    <t xml:space="preserve">why I want to drop it</t>
  </si>
  <si>
    <t xml:space="preserve">decision</t>
  </si>
  <si>
    <t xml:space="preserve">2025-10-08</t>
  </si>
  <si>
    <t xml:space="preserve">drop — seeking_other_office on 2025-06-14 says the same thing earlier</t>
  </si>
  <si>
    <t xml:space="preserve">! OH-5 | Jane | Doe (retiring) | 57.1% R</t>
  </si>
  <si>
    <t xml:space="preserve">the two are different events for her</t>
  </si>
  <si>
    <t xml:space="preserve">David Schweikert</t>
  </si>
  <si>
    <t xml:space="preserve">HOU_AZ_01_2026</t>
  </si>
  <si>
    <t xml:space="preserve">drop — seeking_other_office on 2025-09-30 says the same thing earlier and with the reason</t>
  </si>
  <si>
    <t xml:space="preserve">! AZ-1 | David | Schweikert (retiring) | data-sort-value=51.9 | 51.9% R</t>
  </si>
  <si>
    <t xml:space="preserve">Andy Biggs</t>
  </si>
  <si>
    <t xml:space="preserve">HOU_AZ_05_2026</t>
  </si>
  <si>
    <t xml:space="preserve">drop — seeking_other_office on 2025-01-25 says the same thing earlier and with the reason</t>
  </si>
  <si>
    <t xml:space="preserve">! AZ-5 | Andy | Biggs (retiring) | data-sort-value=60.4 | 60.4% R</t>
  </si>
  <si>
    <t xml:space="preserve">Buddy Carter</t>
  </si>
  <si>
    <t xml:space="preserve">HOU_GA_01_2026</t>
  </si>
  <si>
    <t xml:space="preserve">drop — seeking_other_office on 2025-05-08 says the same thing earlier and with the reason</t>
  </si>
  <si>
    <t xml:space="preserve">! GA-1 | Buddy | Carter (retiring) | data-sort-value= 62.0 | 62.0% R</t>
  </si>
  <si>
    <t xml:space="preserve">Mike Collins</t>
  </si>
  <si>
    <t xml:space="preserve">HOU_GA_10_2026</t>
  </si>
  <si>
    <t xml:space="preserve">drop — seeking_other_office on 2025-07-28 says the same thing earlier and with the reason</t>
  </si>
  <si>
    <t xml:space="preserve">! GA-10 | Mike | Collins | dab=politician (retiring) | data-sort-value= 63.1 | 63.1% R</t>
  </si>
  <si>
    <t xml:space="preserve">Ashley Hinson</t>
  </si>
  <si>
    <t xml:space="preserve">HOU_IA_02_2026</t>
  </si>
  <si>
    <t xml:space="preserve">drop — seeking_other_office on 2025-09-02 says the same thing earlier and with the reason</t>
  </si>
  <si>
    <t xml:space="preserve">! IA-2 | Ashley | Hinson (retiring) | data-sort-value=57.1 | 57.1% R</t>
  </si>
  <si>
    <t xml:space="preserve">Raja Krishnamoorthi</t>
  </si>
  <si>
    <t xml:space="preserve">HOU_IL_08_2026</t>
  </si>
  <si>
    <t xml:space="preserve">drop — seeking_other_office on 2025-05-07 says the same thing earlier and with the reason</t>
  </si>
  <si>
    <t xml:space="preserve">! IL-8 | Raja | Krishnamoorthi (retiring) | data-sort-value=-57.1 | 57.1% D</t>
  </si>
  <si>
    <t xml:space="preserve">Cleo Fields</t>
  </si>
  <si>
    <t xml:space="preserve">HOU_LA_06_2026</t>
  </si>
  <si>
    <t xml:space="preserve">2026-07-24</t>
  </si>
  <si>
    <t xml:space="preserve">drop — seeking_other_office on 2026-07-24 says the same thing earlier and with the reason</t>
  </si>
  <si>
    <t xml:space="preserve">!LA-6 | Cleo | Fields (retiring) | data-sort-value="50.8" | 50.8% D</t>
  </si>
  <si>
    <t xml:space="preserve">Elise Stefanik</t>
  </si>
  <si>
    <t xml:space="preserve">HOU_NY_21_2026</t>
  </si>
  <si>
    <t xml:space="preserve">2025-12-13</t>
  </si>
  <si>
    <t xml:space="preserve">drop — seeking_other_office on 2025-11-07 says the same thing earlier and with the reason</t>
  </si>
  <si>
    <t xml:space="preserve">! NY-21 | Elise | Stefanik (retiring) | data-sort-value= 62.1 | 62.1% R</t>
  </si>
  <si>
    <t xml:space="preserve">Kevin Hern</t>
  </si>
  <si>
    <t xml:space="preserve">HOU_OK_01_2026</t>
  </si>
  <si>
    <t xml:space="preserve">2026-04-20</t>
  </si>
  <si>
    <t xml:space="preserve">drop — seeking_other_office on 2026-03-11 says the same thing earlier and with the reason</t>
  </si>
  <si>
    <t xml:space="preserve">! OK-1 | Kevin | Hern (retiring) | data-sort-value= 60.4 | 60.4% R</t>
  </si>
  <si>
    <t xml:space="preserve">Nancy Mace</t>
  </si>
  <si>
    <t xml:space="preserve">HOU_SC_01_2026</t>
  </si>
  <si>
    <t xml:space="preserve">drop — seeking_other_office on 2025-08-04 says the same thing earlier and with the reason</t>
  </si>
  <si>
    <t xml:space="preserve">! SC-1 | Nancy | Mace (retiring) | data-sort-value= 58.3 | 58.3% R</t>
  </si>
  <si>
    <t xml:space="preserve">Ralph Norman</t>
  </si>
  <si>
    <t xml:space="preserve">HOU_SC_05_2026</t>
  </si>
  <si>
    <t xml:space="preserve">drop — seeking_other_office on 2025-07-25 says the same thing earlier and with the reason</t>
  </si>
  <si>
    <t xml:space="preserve">! SC-5 | Ralph | Norman (retiring) | data-sort-value= 63.6 | 63.6% R</t>
  </si>
  <si>
    <t xml:space="preserve">Chip Roy</t>
  </si>
  <si>
    <t xml:space="preserve">HOU_TX_21_2026</t>
  </si>
  <si>
    <t xml:space="preserve">drop — seeking_other_office on 2025-08-21 says the same thing earlier and with the reason</t>
  </si>
  <si>
    <t xml:space="preserve">! TX-21 | TBD | Chip | Roy (retiring) | data-sort-value= 61.8 | 61.8% R</t>
  </si>
  <si>
    <t xml:space="preserve">Marc Veasey</t>
  </si>
  <si>
    <t xml:space="preserve">HOU_TX_33_2026</t>
  </si>
  <si>
    <t xml:space="preserve">2025-12-16</t>
  </si>
  <si>
    <t xml:space="preserve">drop — seeking_other_office on 2025-12-08 says the same thing earlier and with the reason</t>
  </si>
  <si>
    <t xml:space="preserve"># TX-33: Marc Veasey is retiring due to redistricting.</t>
  </si>
  <si>
    <t xml:space="preserve">Wesley Hunt</t>
  </si>
  <si>
    <t xml:space="preserve">HOU_TX_38_2026</t>
  </si>
  <si>
    <t xml:space="preserve">2025-10-15</t>
  </si>
  <si>
    <t xml:space="preserve">drop — seeking_other_office on 2025-10-06 says the same thing earlier and with the reason</t>
  </si>
  <si>
    <t xml:space="preserve">! TX-38 | TBD | Wesley | Hunt (retiring) | 62.9% R</t>
  </si>
  <si>
    <t xml:space="preserve">Tom Tiffany</t>
  </si>
  <si>
    <t xml:space="preserve">HOU_WI_07_2026</t>
  </si>
  <si>
    <t xml:space="preserve">drop — seeking_other_office on 2025-09-23 says the same thing earlier and with the reason</t>
  </si>
  <si>
    <t xml:space="preserve">! WI-7 | Tom | Tiffany (retiring) | data-sort-value= 63.6 | 63.6% R</t>
  </si>
  <si>
    <t xml:space="preserve">Andy Barr</t>
  </si>
  <si>
    <t xml:space="preserve">HOU_KY_06_2026</t>
  </si>
  <si>
    <t xml:space="preserve">2025-08-24</t>
  </si>
  <si>
    <t xml:space="preserve">drop — seeking_other_office on 2025-02-10 says the same thing earlier and with the reason</t>
  </si>
  <si>
    <t xml:space="preserve">! KY-6 | Andy | Barr (retiring) | data-sort-value=63.0 | 63.0% R</t>
  </si>
  <si>
    <t xml:space="preserve">John James</t>
  </si>
  <si>
    <t xml:space="preserve">HOU_MI_10_2026</t>
  </si>
  <si>
    <t xml:space="preserve">drop — seeking_other_office on 2025-04-07 says the same thing earlier and with the reason</t>
  </si>
  <si>
    <t xml:space="preserve">! MI-10 | John | James | dab=Michigan politician (retiring) | data-sort-value=51.1 | 51.1% R</t>
  </si>
  <si>
    <t xml:space="preserve">Angie Craig</t>
  </si>
  <si>
    <t xml:space="preserve">HOU_MN_02_2026</t>
  </si>
  <si>
    <t xml:space="preserve">drop — seeking_other_office on 2025-04-29 says the same thing earlier and with the reason</t>
  </si>
  <si>
    <t xml:space="preserve">! MN-2 | Angie | Craig (retiring) | data-sort-value=-55.6 | 55.6% D</t>
  </si>
  <si>
    <t xml:space="preserve">Chris Pappas</t>
  </si>
  <si>
    <t xml:space="preserve">HOU_NH_01_2026</t>
  </si>
  <si>
    <t xml:space="preserve">drop — seeking_other_office on 2025-04-03 says the same thing earlier and with the reason</t>
  </si>
  <si>
    <t xml:space="preserve">! NH-1 | Chris | Pappas | dab=American politician (retiring) | data-sort-value=-54.0 | 54.0% D</t>
  </si>
  <si>
    <t xml:space="preserve">Randy Feenstra</t>
  </si>
  <si>
    <t xml:space="preserve">HOU_IA_04_2026</t>
  </si>
  <si>
    <t xml:space="preserve">2026-08-05</t>
  </si>
  <si>
    <t xml:space="preserve">drop — seeking_other_office on 2025-05-12 says the same thing earlier and with the reason</t>
  </si>
  <si>
    <t xml:space="preserve">#IA-4: Randy Feenstra is retiring (previously ran for governor of Iowa).</t>
  </si>
  <si>
    <t xml:space="preserve">2025-10-12</t>
  </si>
  <si>
    <t xml:space="preserve">not an event — the ratings page marking the seat open AFTER the incumbent announced. Useful only as a cross-check on incumbent_on_ballot_after</t>
  </si>
  <si>
    <t xml:space="preserve"># Arizona 1: Open seat</t>
  </si>
  <si>
    <t xml:space="preserve">HOU_CA_48_2026</t>
  </si>
  <si>
    <t xml:space="preserve">2026-03-07</t>
  </si>
  <si>
    <t xml:space="preserve"># California 48: Open seat</t>
  </si>
  <si>
    <t xml:space="preserve">HOU_FL_16_2026</t>
  </si>
  <si>
    <t xml:space="preserve">2026-07-22</t>
  </si>
  <si>
    <t xml:space="preserve">#Florida 16: Open seat</t>
  </si>
  <si>
    <t xml:space="preserve">2025-09-07</t>
  </si>
  <si>
    <t xml:space="preserve"># Iowa 2: Open seat</t>
  </si>
  <si>
    <t xml:space="preserve">2025-08-25</t>
  </si>
  <si>
    <t xml:space="preserve"># Kentucky 6: Open seat</t>
  </si>
  <si>
    <t xml:space="preserve">#Louisiana 6: Open seat</t>
  </si>
  <si>
    <t xml:space="preserve">HOU_ME_02_2026</t>
  </si>
  <si>
    <t xml:space="preserve">2025-11-07</t>
  </si>
  <si>
    <t xml:space="preserve"># Maine 2: Open seat</t>
  </si>
  <si>
    <t xml:space="preserve"># Michigan 10: Open seat</t>
  </si>
  <si>
    <t xml:space="preserve">HOU_MT_01_2026</t>
  </si>
  <si>
    <t xml:space="preserve"># Montana 1: Open seat</t>
  </si>
  <si>
    <t xml:space="preserve">HOU_NC_11_2026</t>
  </si>
  <si>
    <t xml:space="preserve">#North Carolina 11: Open seat</t>
  </si>
  <si>
    <t xml:space="preserve">HOU_NE_02_2026</t>
  </si>
  <si>
    <t xml:space="preserve"># Nebraska 2: Open seat</t>
  </si>
  <si>
    <t xml:space="preserve"># New Hampshire 1: Open seat</t>
  </si>
  <si>
    <t xml:space="preserve">HOU_NV_02_2026</t>
  </si>
  <si>
    <t xml:space="preserve">#Nevada 2: Open seat</t>
  </si>
  <si>
    <t xml:space="preserve">#New York 21: Open seat</t>
  </si>
  <si>
    <t xml:space="preserve">2026-02-10</t>
  </si>
  <si>
    <t xml:space="preserve"># South Carolina 1: Open seat</t>
  </si>
  <si>
    <t xml:space="preserve">HOU_TN_09_2026</t>
  </si>
  <si>
    <t xml:space="preserve">#Tennessee 9: Open seat</t>
  </si>
  <si>
    <t xml:space="preserve">#Texas 23: Open seat</t>
  </si>
  <si>
    <t xml:space="preserve">The eight things that are not recoverable from the archive. The first one is the real blocker; the rest are small.</t>
  </si>
  <si>
    <t xml:space="preserve">what I need</t>
  </si>
  <si>
    <t xml:space="preserve">specifically</t>
  </si>
  <si>
    <t xml:space="preserve">why it matters</t>
  </si>
  <si>
    <t xml:space="preserve">where to look</t>
  </si>
  <si>
    <t xml:space="preserve">format I need</t>
  </si>
  <si>
    <t xml:space="preserve">status</t>
  </si>
  <si>
    <t xml:space="preserve">link or path</t>
  </si>
  <si>
    <t xml:space="preserve">what exactly</t>
  </si>
  <si>
    <t xml:space="preserve">what breaks without it</t>
  </si>
  <si>
    <t xml:space="preserve">a source</t>
  </si>
  <si>
    <t xml:space="preserve">a CSV</t>
  </si>
  <si>
    <t xml:space="preserve">done</t>
  </si>
  <si>
    <t xml:space="preserve">private-repo/pvi_TX.csv</t>
  </si>
  <si>
    <t xml:space="preserve">Per-plan district baselines</t>
  </si>
  <si>
    <t xml:space="preserve">Cook PVI, or 2024 presidential two-party, for each district under each ENACTED map version</t>
  </si>
  <si>
    <t xml:space="preserve">Re-running a seat model on the map that was legally in effect at a past date is impossible without the district baselines for that map. This is the one blocker on fixing the backfilled seat projections.</t>
  </si>
  <si>
    <t xml:space="preserve">Cook Political Report; Dave's Redistricting App</t>
  </si>
  <si>
    <t xml:space="preserve">one CSV per plan in the PRIVATE repo, named in sheet B's baseline_file</t>
  </si>
  <si>
    <t xml:space="preserve">Missing Senate retirements</t>
  </si>
  <si>
    <t xml:space="preserve">The Senate page's own summary said eleven senators had announced; we extracted six (Peters, Smith, McConnell, Shaheen, Durbin, Tuberville)</t>
  </si>
  <si>
    <t xml:space="preserve">A structural model that takes incumbency needs all of them, and a gap here is invisible rather than noisy.</t>
  </si>
  <si>
    <t xml:space="preserve">the Senate page's retirements section, or a news roundup</t>
  </si>
  <si>
    <t xml:space="preserve">name + state + announcement date + source, straight into sheet A</t>
  </si>
  <si>
    <t xml:space="preserve">Missing governor retirement</t>
  </si>
  <si>
    <t xml:space="preserve">The gubernatorial page said five governors; we have four (Reynolds, Evers, Bowser, Walz)</t>
  </si>
  <si>
    <t xml:space="preserve">Same reason, smaller stakes.</t>
  </si>
  <si>
    <t xml:space="preserve">the gubernatorial page's retirements section</t>
  </si>
  <si>
    <t xml:space="preserve">same as above</t>
  </si>
  <si>
    <t xml:space="preserve">SCOTUS redistricting decision date</t>
  </si>
  <si>
    <t xml:space="preserve">The date of the decision you mentioned, and the case name</t>
  </si>
  <si>
    <t xml:space="preserve">It is the single most important marker on the timeline, and every southern redraw hangs off it.</t>
  </si>
  <si>
    <t xml:space="preserve">the opinion itself</t>
  </si>
  <si>
    <t xml:space="preserve">one date + case name + link; I will add it to the chart markers</t>
  </si>
  <si>
    <t xml:space="preserve">Court case names and order dates</t>
  </si>
  <si>
    <t xml:space="preserve">For the states sitting in 'Litigation pending': FL, GA, LA, NY, SC, TX, UT, WI</t>
  </si>
  <si>
    <t xml:space="preserve">Wikipedia dates when the page changed, not when the court ruled. For litigation the gap can be days, and these are the events markets moved on.</t>
  </si>
  <si>
    <t xml:space="preserve">the dockets, or Democracy Docket / Cook's tracker</t>
  </si>
  <si>
    <t xml:space="preserve">case name + order date + link, into sheet C</t>
  </si>
  <si>
    <t xml:space="preserve">Cook redistricting tracker: what may we use</t>
  </si>
  <si>
    <t xml:space="preserve">Whether their dates and seat-shift estimates may be reproduced, and under what attribution</t>
  </si>
  <si>
    <t xml:space="preserve">Standing rule on this project is no data reproduction on the public side unless the licence permits. Their tracker is the best source and the one most likely to need permission.</t>
  </si>
  <si>
    <t xml:space="preserve">their terms, or an email to them</t>
  </si>
  <si>
    <t xml:space="preserve">a yes/no I can write into sources/2026.yaml notes</t>
  </si>
  <si>
    <t xml:space="preserve">Delegates: in or out</t>
  </si>
  <si>
    <t xml:space="preserve">Whether DC and the territories get rows at all</t>
  </si>
  <si>
    <t xml:space="preserve">They are not among the 435 and no other source in the archive has a race for them, so the extractor refuses them a race_id. That is a choice, not a fact.</t>
  </si>
  <si>
    <t xml:space="preserve">your call</t>
  </si>
  <si>
    <t xml:space="preserve">one word</t>
  </si>
  <si>
    <t xml:space="preserve">At-large numbering</t>
  </si>
  <si>
    <t xml:space="preserve">Whether an at-large seat is district 01 or 00 in a race_id</t>
  </si>
  <si>
    <t xml:space="preserve">I used 01. If anything else in the archive uses 00 they will never join.</t>
  </si>
  <si>
    <t xml:space="preserve">your call, checked against the existing race ids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</si>
</sst>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1F3864"/>
      <name val="Arial"/>
      <family val="0"/>
      <charset val="1"/>
    </font>
    <font>
      <sz val="10"/>
      <name val="Arial"/>
      <family val="0"/>
      <charset val="1"/>
    </font>
    <font>
      <i val="true"/>
      <sz val="11"/>
      <color rgb="FF404040"/>
      <name val="Arial"/>
      <family val="0"/>
      <charset val="1"/>
    </font>
    <font>
      <b val="true"/>
      <sz val="10"/>
      <color rgb="FFFFFFFF"/>
      <name val="Arial"/>
      <family val="0"/>
      <charset val="1"/>
    </font>
    <font>
      <i val="true"/>
      <sz val="10"/>
      <color rgb="FF80808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1" t="s">
        <v>0</v>
      </c>
    </row>
    <row r="2" customFormat="false" ht="15" hidden="false" customHeight="false" outlineLevel="0" collapsed="false">
      <c r="A2" s="2"/>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45" hidden="false" customHeight="true" outlineLevel="0" collapsed="false">
      <c r="A5" s="2" t="s">
        <v>5</v>
      </c>
      <c r="B5" s="3" t="s">
        <v>6</v>
      </c>
    </row>
    <row r="6" customFormat="false" ht="15" hidden="false" customHeight="false" outlineLevel="0" collapsed="false">
      <c r="A6" s="2"/>
    </row>
    <row r="7" customFormat="false" ht="30" hidden="false" customHeight="true" outlineLevel="0" collapsed="false">
      <c r="A7" s="2" t="s">
        <v>7</v>
      </c>
      <c r="B7" s="3" t="s">
        <v>8</v>
      </c>
    </row>
    <row r="8" customFormat="false" ht="15" hidden="false" customHeight="true" outlineLevel="0" collapsed="false">
      <c r="A8" s="2" t="s">
        <v>9</v>
      </c>
      <c r="B8" s="3" t="s">
        <v>10</v>
      </c>
    </row>
    <row r="9" customFormat="false" ht="15" hidden="false" customHeight="true" outlineLevel="0" collapsed="false">
      <c r="A9" s="2" t="s">
        <v>11</v>
      </c>
      <c r="B9" s="3" t="s">
        <v>12</v>
      </c>
    </row>
    <row r="10" customFormat="false" ht="15" hidden="false" customHeight="true" outlineLevel="0" collapsed="false">
      <c r="A10" s="2" t="s">
        <v>13</v>
      </c>
      <c r="B10" s="3" t="s">
        <v>14</v>
      </c>
    </row>
    <row r="11" customFormat="false" ht="30" hidden="false" customHeight="true" outlineLevel="0" collapsed="false">
      <c r="A11" s="2" t="s">
        <v>15</v>
      </c>
      <c r="B11" s="3" t="s">
        <v>16</v>
      </c>
    </row>
    <row r="12" customFormat="false" ht="15" hidden="false" customHeight="false" outlineLevel="0" collapsed="false">
      <c r="A12" s="2"/>
    </row>
    <row r="13" customFormat="false" ht="45" hidden="false" customHeight="true" outlineLevel="0" collapsed="false">
      <c r="A13" s="2" t="s">
        <v>17</v>
      </c>
      <c r="B13" s="3" t="s">
        <v>18</v>
      </c>
    </row>
    <row r="14" customFormat="false" ht="45" hidden="false" customHeight="true" outlineLevel="0" collapsed="false">
      <c r="A14" s="2" t="s">
        <v>19</v>
      </c>
      <c r="B14" s="3" t="s">
        <v>20</v>
      </c>
    </row>
    <row r="16" customFormat="false" ht="15" hidden="false" customHeight="false" outlineLevel="0" collapsed="false">
      <c r="A16" s="4" t="s">
        <v>21</v>
      </c>
    </row>
    <row r="17" customFormat="false" ht="15" hidden="false" customHeight="false" outlineLevel="0" collapsed="false">
      <c r="A17" s="5" t="s">
        <v>7</v>
      </c>
      <c r="B17" s="5" t="str">
        <f aca="false">COUNTA('A · dates to verify'!G4:G13)&amp;" of 10 rows started"</f>
        <v>0 of 10 rows started</v>
      </c>
    </row>
    <row r="18" customFormat="false" ht="15" hidden="false" customHeight="false" outlineLevel="0" collapsed="false">
      <c r="A18" s="5" t="s">
        <v>9</v>
      </c>
      <c r="B18" s="5" t="str">
        <f aca="false">COUNTA('B · redistricting plans'!E4:E17)&amp;" of 14 rows started"</f>
        <v>0 of 14 rows started</v>
      </c>
    </row>
    <row r="19" customFormat="false" ht="15" hidden="false" customHeight="false" outlineLevel="0" collapsed="false">
      <c r="A19" s="5" t="s">
        <v>11</v>
      </c>
      <c r="B19" s="5" t="str">
        <f aca="false">COUNTA('C · redistricting events'!G4:G31)&amp;" of 28 rows started"</f>
        <v>0 of 28 rows started</v>
      </c>
    </row>
    <row r="20" customFormat="false" ht="15" hidden="false" customHeight="false" outlineLevel="0" collapsed="false">
      <c r="A20" s="5" t="s">
        <v>13</v>
      </c>
      <c r="B20" s="5" t="str">
        <f aca="false">COUNTA('D · confirm my drops'!G4:G40)&amp;" of 37 rows started"</f>
        <v>0 of 37 rows started</v>
      </c>
    </row>
    <row r="21" customFormat="false" ht="15" hidden="false" customHeight="false" outlineLevel="0" collapsed="false">
      <c r="A21" s="5" t="s">
        <v>15</v>
      </c>
      <c r="B21" s="5" t="str">
        <f aca="false">COUNTA('E · only you can get this'!F4:F11)&amp;" of 8 rows started"</f>
        <v>0 of 8 rows started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8"/>
    <col collapsed="false" customWidth="true" hidden="false" outlineLevel="0" max="4" min="4" style="0" width="13"/>
    <col collapsed="false" customWidth="true" hidden="false" outlineLevel="0" max="5" min="5" style="0" width="40"/>
    <col collapsed="false" customWidth="true" hidden="false" outlineLevel="0" max="6" min="6" style="0" width="50"/>
    <col collapsed="false" customWidth="true" hidden="false" outlineLevel="0" max="7" min="7" style="0" width="11"/>
    <col collapsed="false" customWidth="true" hidden="false" outlineLevel="0" max="8" min="8" style="0" width="18"/>
    <col collapsed="false" customWidth="true" hidden="false" outlineLevel="0" max="9" min="9" style="0" width="12"/>
    <col collapsed="false" customWidth="true" hidden="false" outlineLevel="0" max="10" min="10" style="0" width="32"/>
    <col collapsed="false" customWidth="true" hidden="false" outlineLevel="0" max="11" min="11" style="0" width="34"/>
  </cols>
  <sheetData>
    <row r="1" customFormat="false" ht="30" hidden="false" customHeight="true" outlineLevel="0" collapsed="false">
      <c r="A1" s="6" t="s">
        <v>22</v>
      </c>
      <c r="B1" s="6"/>
      <c r="C1" s="6"/>
      <c r="D1" s="6"/>
      <c r="E1" s="6"/>
      <c r="F1" s="6"/>
      <c r="G1" s="6"/>
      <c r="H1" s="6"/>
      <c r="I1" s="6"/>
      <c r="J1" s="6"/>
      <c r="K1" s="6"/>
    </row>
    <row r="2" customFormat="false" ht="30" hidden="false" customHeight="true" outlineLevel="0" collapsed="false">
      <c r="A2" s="7" t="s">
        <v>23</v>
      </c>
      <c r="B2" s="7" t="s">
        <v>24</v>
      </c>
      <c r="C2" s="7" t="s">
        <v>25</v>
      </c>
      <c r="D2" s="7" t="s">
        <v>26</v>
      </c>
      <c r="E2" s="7" t="s">
        <v>27</v>
      </c>
      <c r="F2" s="7" t="s">
        <v>28</v>
      </c>
      <c r="G2" s="7" t="s">
        <v>29</v>
      </c>
      <c r="H2" s="7" t="s">
        <v>30</v>
      </c>
      <c r="I2" s="7" t="s">
        <v>31</v>
      </c>
      <c r="J2" s="7" t="s">
        <v>32</v>
      </c>
      <c r="K2" s="7" t="s">
        <v>33</v>
      </c>
    </row>
    <row r="3" customFormat="false" ht="23.85" hidden="false" customHeight="false" outlineLevel="0" collapsed="false">
      <c r="A3" s="8" t="s">
        <v>34</v>
      </c>
      <c r="B3" s="8" t="s">
        <v>35</v>
      </c>
      <c r="C3" s="8" t="s">
        <v>36</v>
      </c>
      <c r="D3" s="8" t="s">
        <v>37</v>
      </c>
      <c r="E3" s="8" t="s">
        <v>38</v>
      </c>
      <c r="F3" s="8" t="s">
        <v>39</v>
      </c>
      <c r="G3" s="8" t="s">
        <v>40</v>
      </c>
      <c r="H3" s="8" t="s">
        <v>41</v>
      </c>
      <c r="I3" s="8" t="s">
        <v>42</v>
      </c>
      <c r="J3" s="8" t="s">
        <v>43</v>
      </c>
      <c r="K3" s="8" t="s">
        <v>44</v>
      </c>
    </row>
    <row r="4" customFormat="false" ht="35.05" hidden="false" customHeight="false" outlineLevel="0" collapsed="false">
      <c r="A4" s="9" t="s">
        <v>45</v>
      </c>
      <c r="B4" s="9" t="s">
        <v>46</v>
      </c>
      <c r="C4" s="9" t="s">
        <v>36</v>
      </c>
      <c r="D4" s="9" t="s">
        <v>47</v>
      </c>
      <c r="E4" s="9" t="s">
        <v>48</v>
      </c>
      <c r="F4" s="9" t="s">
        <v>49</v>
      </c>
      <c r="G4" s="10"/>
      <c r="H4" s="10"/>
      <c r="I4" s="10"/>
      <c r="J4" s="10"/>
      <c r="K4" s="10"/>
    </row>
    <row r="5" customFormat="false" ht="23.85" hidden="false" customHeight="false" outlineLevel="0" collapsed="false">
      <c r="A5" s="9" t="s">
        <v>50</v>
      </c>
      <c r="B5" s="9" t="s">
        <v>51</v>
      </c>
      <c r="C5" s="9" t="s">
        <v>41</v>
      </c>
      <c r="D5" s="9" t="s">
        <v>47</v>
      </c>
      <c r="E5" s="9" t="s">
        <v>52</v>
      </c>
      <c r="F5" s="9" t="s">
        <v>53</v>
      </c>
      <c r="G5" s="10"/>
      <c r="H5" s="10"/>
      <c r="I5" s="10"/>
      <c r="J5" s="10"/>
      <c r="K5" s="10"/>
    </row>
    <row r="6" customFormat="false" ht="35.05" hidden="false" customHeight="false" outlineLevel="0" collapsed="false">
      <c r="A6" s="9" t="s">
        <v>54</v>
      </c>
      <c r="B6" s="9" t="s">
        <v>55</v>
      </c>
      <c r="C6" s="9" t="s">
        <v>36</v>
      </c>
      <c r="D6" s="9" t="s">
        <v>56</v>
      </c>
      <c r="E6" s="9" t="s">
        <v>57</v>
      </c>
      <c r="F6" s="9" t="s">
        <v>58</v>
      </c>
      <c r="G6" s="10"/>
      <c r="H6" s="10"/>
      <c r="I6" s="10"/>
      <c r="J6" s="10"/>
      <c r="K6" s="10"/>
    </row>
    <row r="7" customFormat="false" ht="35.05" hidden="false" customHeight="false" outlineLevel="0" collapsed="false">
      <c r="A7" s="9" t="s">
        <v>59</v>
      </c>
      <c r="B7" s="9" t="s">
        <v>55</v>
      </c>
      <c r="C7" s="9" t="s">
        <v>36</v>
      </c>
      <c r="D7" s="9" t="s">
        <v>60</v>
      </c>
      <c r="E7" s="9" t="s">
        <v>57</v>
      </c>
      <c r="F7" s="9" t="s">
        <v>61</v>
      </c>
      <c r="G7" s="10"/>
      <c r="H7" s="10"/>
      <c r="I7" s="10"/>
      <c r="J7" s="10"/>
      <c r="K7" s="10"/>
    </row>
    <row r="8" customFormat="false" ht="23.85" hidden="false" customHeight="false" outlineLevel="0" collapsed="false">
      <c r="A8" s="9" t="s">
        <v>62</v>
      </c>
      <c r="B8" s="9" t="s">
        <v>63</v>
      </c>
      <c r="C8" s="9" t="s">
        <v>36</v>
      </c>
      <c r="D8" s="9" t="s">
        <v>64</v>
      </c>
      <c r="E8" s="9" t="s">
        <v>65</v>
      </c>
      <c r="F8" s="9" t="s">
        <v>66</v>
      </c>
      <c r="G8" s="10"/>
      <c r="H8" s="10"/>
      <c r="I8" s="10"/>
      <c r="J8" s="10"/>
      <c r="K8" s="10"/>
    </row>
    <row r="9" customFormat="false" ht="23.85" hidden="false" customHeight="false" outlineLevel="0" collapsed="false">
      <c r="A9" s="9" t="s">
        <v>67</v>
      </c>
      <c r="B9" s="9" t="s">
        <v>68</v>
      </c>
      <c r="C9" s="9" t="s">
        <v>36</v>
      </c>
      <c r="D9" s="9" t="s">
        <v>69</v>
      </c>
      <c r="E9" s="9" t="s">
        <v>70</v>
      </c>
      <c r="F9" s="9" t="s">
        <v>71</v>
      </c>
      <c r="G9" s="10"/>
      <c r="H9" s="10"/>
      <c r="I9" s="10"/>
      <c r="J9" s="10"/>
      <c r="K9" s="10"/>
    </row>
    <row r="10" customFormat="false" ht="35.05" hidden="false" customHeight="false" outlineLevel="0" collapsed="false">
      <c r="A10" s="9" t="s">
        <v>72</v>
      </c>
      <c r="B10" s="9" t="s">
        <v>68</v>
      </c>
      <c r="C10" s="9" t="s">
        <v>36</v>
      </c>
      <c r="D10" s="9" t="s">
        <v>73</v>
      </c>
      <c r="E10" s="9" t="s">
        <v>70</v>
      </c>
      <c r="F10" s="9" t="s">
        <v>74</v>
      </c>
      <c r="G10" s="10"/>
      <c r="H10" s="10"/>
      <c r="I10" s="10"/>
      <c r="J10" s="10"/>
      <c r="K10" s="10"/>
    </row>
    <row r="11" customFormat="false" ht="23.85" hidden="false" customHeight="false" outlineLevel="0" collapsed="false">
      <c r="A11" s="9" t="s">
        <v>75</v>
      </c>
      <c r="B11" s="9" t="s">
        <v>76</v>
      </c>
      <c r="C11" s="9" t="s">
        <v>36</v>
      </c>
      <c r="D11" s="9" t="s">
        <v>77</v>
      </c>
      <c r="E11" s="9" t="s">
        <v>65</v>
      </c>
      <c r="F11" s="9" t="s">
        <v>78</v>
      </c>
      <c r="G11" s="10"/>
      <c r="H11" s="10"/>
      <c r="I11" s="10"/>
      <c r="J11" s="10"/>
      <c r="K11" s="10"/>
    </row>
    <row r="12" customFormat="false" ht="23.85" hidden="false" customHeight="false" outlineLevel="0" collapsed="false">
      <c r="A12" s="9" t="s">
        <v>79</v>
      </c>
      <c r="B12" s="9" t="s">
        <v>80</v>
      </c>
      <c r="C12" s="9" t="s">
        <v>36</v>
      </c>
      <c r="D12" s="9" t="s">
        <v>81</v>
      </c>
      <c r="E12" s="9" t="s">
        <v>82</v>
      </c>
      <c r="F12" s="9" t="s">
        <v>83</v>
      </c>
      <c r="G12" s="10"/>
      <c r="H12" s="10"/>
      <c r="I12" s="10"/>
      <c r="J12" s="10"/>
      <c r="K12" s="10"/>
    </row>
    <row r="13" customFormat="false" ht="23.85" hidden="false" customHeight="false" outlineLevel="0" collapsed="false">
      <c r="A13" s="9" t="s">
        <v>79</v>
      </c>
      <c r="B13" s="9" t="s">
        <v>80</v>
      </c>
      <c r="C13" s="9" t="s">
        <v>84</v>
      </c>
      <c r="D13" s="9" t="s">
        <v>85</v>
      </c>
      <c r="E13" s="9" t="s">
        <v>65</v>
      </c>
      <c r="F13" s="9" t="s">
        <v>86</v>
      </c>
      <c r="G13" s="10"/>
      <c r="H13" s="10"/>
      <c r="I13" s="10"/>
      <c r="J13" s="10"/>
      <c r="K13" s="10"/>
    </row>
  </sheetData>
  <autoFilter ref="A2:K13"/>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8"/>
    <col collapsed="false" customWidth="true" hidden="false" outlineLevel="0" max="4" min="4" style="0" width="10"/>
    <col collapsed="false" customWidth="true" hidden="false" outlineLevel="0" max="5" min="5" style="0" width="18"/>
    <col collapsed="false" customWidth="true" hidden="false" outlineLevel="0" max="6" min="6" style="0" width="30"/>
    <col collapsed="false" customWidth="true" hidden="false" outlineLevel="0" max="9" min="7" style="0" width="14"/>
    <col collapsed="false" customWidth="true" hidden="false" outlineLevel="0" max="11" min="10" style="0" width="22"/>
    <col collapsed="false" customWidth="true" hidden="false" outlineLevel="0" max="12" min="12" style="0" width="34"/>
  </cols>
  <sheetData>
    <row r="1" customFormat="false" ht="30" hidden="false" customHeight="true" outlineLevel="0" collapsed="false">
      <c r="A1" s="6" t="s">
        <v>87</v>
      </c>
      <c r="B1" s="6"/>
      <c r="C1" s="6"/>
      <c r="D1" s="6"/>
      <c r="E1" s="6"/>
      <c r="F1" s="6"/>
      <c r="G1" s="6"/>
      <c r="H1" s="6"/>
      <c r="I1" s="6"/>
      <c r="J1" s="6"/>
      <c r="K1" s="6"/>
      <c r="L1" s="6"/>
    </row>
    <row r="2" customFormat="false" ht="30" hidden="false" customHeight="true" outlineLevel="0" collapsed="false">
      <c r="A2" s="7" t="s">
        <v>88</v>
      </c>
      <c r="B2" s="7" t="s">
        <v>89</v>
      </c>
      <c r="C2" s="7" t="s">
        <v>90</v>
      </c>
      <c r="D2" s="7" t="s">
        <v>91</v>
      </c>
      <c r="E2" s="7" t="s">
        <v>92</v>
      </c>
      <c r="F2" s="7" t="s">
        <v>93</v>
      </c>
      <c r="G2" s="7" t="s">
        <v>94</v>
      </c>
      <c r="H2" s="7" t="s">
        <v>95</v>
      </c>
      <c r="I2" s="7" t="s">
        <v>96</v>
      </c>
      <c r="J2" s="7" t="s">
        <v>97</v>
      </c>
      <c r="K2" s="7" t="s">
        <v>98</v>
      </c>
      <c r="L2" s="7" t="s">
        <v>33</v>
      </c>
    </row>
    <row r="3" customFormat="false" ht="46.25" hidden="false" customHeight="false" outlineLevel="0" collapsed="false">
      <c r="A3" s="8" t="s">
        <v>34</v>
      </c>
      <c r="B3" s="8" t="s">
        <v>99</v>
      </c>
      <c r="C3" s="8" t="s">
        <v>100</v>
      </c>
      <c r="D3" s="8" t="n">
        <v>2</v>
      </c>
      <c r="E3" s="8" t="s">
        <v>101</v>
      </c>
      <c r="F3" s="8" t="s">
        <v>102</v>
      </c>
      <c r="G3" s="8" t="s">
        <v>103</v>
      </c>
      <c r="H3" s="8" t="n">
        <v>12</v>
      </c>
      <c r="I3" s="8" t="n">
        <v>5</v>
      </c>
      <c r="J3" s="8" t="s">
        <v>104</v>
      </c>
      <c r="K3" s="8" t="s">
        <v>105</v>
      </c>
      <c r="L3" s="8" t="s">
        <v>106</v>
      </c>
    </row>
    <row r="4" customFormat="false" ht="15" hidden="false" customHeight="false" outlineLevel="0" collapsed="false">
      <c r="A4" s="9" t="s">
        <v>107</v>
      </c>
      <c r="B4" s="9" t="s">
        <v>108</v>
      </c>
      <c r="C4" s="9" t="s">
        <v>109</v>
      </c>
      <c r="D4" s="9" t="n">
        <v>1</v>
      </c>
      <c r="E4" s="10"/>
      <c r="F4" s="10"/>
      <c r="G4" s="10"/>
      <c r="H4" s="10"/>
      <c r="I4" s="10"/>
      <c r="J4" s="10"/>
      <c r="K4" s="10"/>
      <c r="L4" s="10"/>
    </row>
    <row r="5" customFormat="false" ht="15" hidden="false" customHeight="false" outlineLevel="0" collapsed="false">
      <c r="A5" s="9" t="s">
        <v>110</v>
      </c>
      <c r="B5" s="9" t="s">
        <v>111</v>
      </c>
      <c r="C5" s="9" t="s">
        <v>112</v>
      </c>
      <c r="D5" s="9" t="n">
        <v>3</v>
      </c>
      <c r="E5" s="10"/>
      <c r="F5" s="10"/>
      <c r="G5" s="10"/>
      <c r="H5" s="10"/>
      <c r="I5" s="10"/>
      <c r="J5" s="10"/>
      <c r="K5" s="10"/>
      <c r="L5" s="10"/>
    </row>
    <row r="6" customFormat="false" ht="15" hidden="false" customHeight="false" outlineLevel="0" collapsed="false">
      <c r="A6" s="9" t="s">
        <v>113</v>
      </c>
      <c r="B6" s="9" t="s">
        <v>108</v>
      </c>
      <c r="C6" s="9" t="s">
        <v>114</v>
      </c>
      <c r="D6" s="9" t="n">
        <v>1</v>
      </c>
      <c r="E6" s="10"/>
      <c r="F6" s="10"/>
      <c r="G6" s="10"/>
      <c r="H6" s="10"/>
      <c r="I6" s="10"/>
      <c r="J6" s="10"/>
      <c r="K6" s="10"/>
      <c r="L6" s="10"/>
    </row>
    <row r="7" customFormat="false" ht="15" hidden="false" customHeight="false" outlineLevel="0" collapsed="false">
      <c r="A7" s="9" t="s">
        <v>115</v>
      </c>
      <c r="B7" s="9" t="s">
        <v>116</v>
      </c>
      <c r="C7" s="9" t="s">
        <v>116</v>
      </c>
      <c r="D7" s="9" t="n">
        <v>0</v>
      </c>
      <c r="E7" s="10"/>
      <c r="F7" s="10"/>
      <c r="G7" s="10"/>
      <c r="H7" s="10"/>
      <c r="I7" s="10"/>
      <c r="J7" s="10"/>
      <c r="K7" s="10"/>
      <c r="L7" s="10"/>
    </row>
    <row r="8" customFormat="false" ht="15" hidden="false" customHeight="false" outlineLevel="0" collapsed="false">
      <c r="A8" s="9" t="s">
        <v>117</v>
      </c>
      <c r="B8" s="9" t="s">
        <v>118</v>
      </c>
      <c r="C8" s="9" t="s">
        <v>118</v>
      </c>
      <c r="D8" s="9" t="n">
        <v>0</v>
      </c>
      <c r="E8" s="10"/>
      <c r="F8" s="10"/>
      <c r="G8" s="10"/>
      <c r="H8" s="10"/>
      <c r="I8" s="10"/>
      <c r="J8" s="10"/>
      <c r="K8" s="10"/>
      <c r="L8" s="10"/>
    </row>
    <row r="9" customFormat="false" ht="15" hidden="false" customHeight="false" outlineLevel="0" collapsed="false">
      <c r="A9" s="9" t="s">
        <v>119</v>
      </c>
      <c r="B9" s="9" t="s">
        <v>108</v>
      </c>
      <c r="C9" s="9" t="s">
        <v>120</v>
      </c>
      <c r="D9" s="9" t="n">
        <v>1</v>
      </c>
      <c r="E9" s="10"/>
      <c r="F9" s="10"/>
      <c r="G9" s="10"/>
      <c r="H9" s="10"/>
      <c r="I9" s="10"/>
      <c r="J9" s="10"/>
      <c r="K9" s="10"/>
      <c r="L9" s="10"/>
    </row>
    <row r="10" customFormat="false" ht="15" hidden="false" customHeight="false" outlineLevel="0" collapsed="false">
      <c r="A10" s="9" t="s">
        <v>121</v>
      </c>
      <c r="B10" s="9" t="s">
        <v>122</v>
      </c>
      <c r="C10" s="9" t="s">
        <v>122</v>
      </c>
      <c r="D10" s="9" t="n">
        <v>0</v>
      </c>
      <c r="E10" s="10"/>
      <c r="F10" s="10"/>
      <c r="G10" s="10"/>
      <c r="H10" s="10"/>
      <c r="I10" s="10"/>
      <c r="J10" s="10"/>
      <c r="K10" s="10"/>
      <c r="L10" s="10"/>
    </row>
    <row r="11" customFormat="false" ht="15" hidden="false" customHeight="false" outlineLevel="0" collapsed="false">
      <c r="A11" s="9" t="s">
        <v>123</v>
      </c>
      <c r="B11" s="9" t="s">
        <v>124</v>
      </c>
      <c r="C11" s="9" t="s">
        <v>125</v>
      </c>
      <c r="D11" s="9" t="n">
        <v>1</v>
      </c>
      <c r="E11" s="10"/>
      <c r="F11" s="10"/>
      <c r="G11" s="10"/>
      <c r="H11" s="10"/>
      <c r="I11" s="10"/>
      <c r="J11" s="10"/>
      <c r="K11" s="10"/>
      <c r="L11" s="10"/>
    </row>
    <row r="12" customFormat="false" ht="15" hidden="false" customHeight="false" outlineLevel="0" collapsed="false">
      <c r="A12" s="9" t="s">
        <v>126</v>
      </c>
      <c r="B12" s="9" t="s">
        <v>127</v>
      </c>
      <c r="C12" s="9" t="s">
        <v>128</v>
      </c>
      <c r="D12" s="9" t="n">
        <v>1</v>
      </c>
      <c r="E12" s="10"/>
      <c r="F12" s="10"/>
      <c r="G12" s="10"/>
      <c r="H12" s="10"/>
      <c r="I12" s="10"/>
      <c r="J12" s="10"/>
      <c r="K12" s="10"/>
      <c r="L12" s="10"/>
    </row>
    <row r="13" customFormat="false" ht="15" hidden="false" customHeight="false" outlineLevel="0" collapsed="false">
      <c r="A13" s="9" t="s">
        <v>129</v>
      </c>
      <c r="B13" s="9" t="s">
        <v>130</v>
      </c>
      <c r="C13" s="9" t="s">
        <v>109</v>
      </c>
      <c r="D13" s="9" t="n">
        <v>2</v>
      </c>
      <c r="E13" s="10"/>
      <c r="F13" s="10"/>
      <c r="G13" s="10"/>
      <c r="H13" s="10"/>
      <c r="I13" s="10"/>
      <c r="J13" s="10"/>
      <c r="K13" s="10"/>
      <c r="L13" s="10"/>
    </row>
    <row r="14" customFormat="false" ht="15" hidden="false" customHeight="false" outlineLevel="0" collapsed="false">
      <c r="A14" s="9" t="s">
        <v>131</v>
      </c>
      <c r="B14" s="9" t="s">
        <v>99</v>
      </c>
      <c r="C14" s="9" t="s">
        <v>100</v>
      </c>
      <c r="D14" s="9" t="n">
        <v>2</v>
      </c>
      <c r="E14" s="10"/>
      <c r="F14" s="10"/>
      <c r="G14" s="10"/>
      <c r="H14" s="10"/>
      <c r="I14" s="10"/>
      <c r="J14" s="10"/>
      <c r="K14" s="10"/>
      <c r="L14" s="10"/>
    </row>
    <row r="15" customFormat="false" ht="15" hidden="false" customHeight="false" outlineLevel="0" collapsed="false">
      <c r="A15" s="9" t="s">
        <v>132</v>
      </c>
      <c r="B15" s="9" t="s">
        <v>116</v>
      </c>
      <c r="C15" s="9" t="s">
        <v>133</v>
      </c>
      <c r="D15" s="9" t="n">
        <v>1</v>
      </c>
      <c r="E15" s="10"/>
      <c r="F15" s="10"/>
      <c r="G15" s="10"/>
      <c r="H15" s="10"/>
      <c r="I15" s="10"/>
      <c r="J15" s="10"/>
      <c r="K15" s="10"/>
      <c r="L15" s="10"/>
    </row>
    <row r="16" customFormat="false" ht="15" hidden="false" customHeight="false" outlineLevel="0" collapsed="false">
      <c r="A16" s="9" t="s">
        <v>134</v>
      </c>
      <c r="B16" s="9" t="s">
        <v>135</v>
      </c>
      <c r="C16" s="9" t="s">
        <v>135</v>
      </c>
      <c r="D16" s="9" t="n">
        <v>0</v>
      </c>
      <c r="E16" s="10"/>
      <c r="F16" s="10"/>
      <c r="G16" s="10"/>
      <c r="H16" s="10"/>
      <c r="I16" s="10"/>
      <c r="J16" s="10"/>
      <c r="K16" s="10"/>
      <c r="L16" s="10"/>
    </row>
    <row r="17" customFormat="false" ht="15" hidden="false" customHeight="false" outlineLevel="0" collapsed="false">
      <c r="A17" s="9" t="s">
        <v>136</v>
      </c>
      <c r="B17" s="9" t="s">
        <v>108</v>
      </c>
      <c r="C17" s="9" t="s">
        <v>137</v>
      </c>
      <c r="D17" s="9" t="n">
        <v>1</v>
      </c>
      <c r="E17" s="10"/>
      <c r="F17" s="10"/>
      <c r="G17" s="10"/>
      <c r="H17" s="10"/>
      <c r="I17" s="10"/>
      <c r="J17" s="10"/>
      <c r="K17" s="10"/>
      <c r="L17" s="10"/>
    </row>
  </sheetData>
  <autoFilter ref="A2:L17"/>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20"/>
    <col collapsed="false" customWidth="true" hidden="false" outlineLevel="0" max="5" min="4" style="0" width="32"/>
    <col collapsed="false" customWidth="true" hidden="false" outlineLevel="0" max="6" min="6" style="0" width="12"/>
    <col collapsed="false" customWidth="true" hidden="false" outlineLevel="0" max="8" min="7" style="0" width="18"/>
    <col collapsed="false" customWidth="true" hidden="false" outlineLevel="0" max="10" min="9" style="0" width="16"/>
    <col collapsed="false" customWidth="true" hidden="false" outlineLevel="0" max="11" min="11" style="0" width="12"/>
    <col collapsed="false" customWidth="true" hidden="false" outlineLevel="0" max="12" min="12" style="0" width="22"/>
    <col collapsed="false" customWidth="true" hidden="false" outlineLevel="0" max="14" min="13" style="0" width="30"/>
  </cols>
  <sheetData>
    <row r="1" customFormat="false" ht="30" hidden="false" customHeight="true" outlineLevel="0" collapsed="false">
      <c r="A1" s="6" t="s">
        <v>138</v>
      </c>
      <c r="B1" s="6"/>
      <c r="C1" s="6"/>
      <c r="D1" s="6"/>
      <c r="E1" s="6"/>
      <c r="F1" s="6"/>
      <c r="G1" s="6"/>
      <c r="H1" s="6"/>
      <c r="I1" s="6"/>
      <c r="J1" s="6"/>
      <c r="K1" s="6"/>
      <c r="L1" s="6"/>
      <c r="M1" s="6"/>
      <c r="N1" s="6"/>
    </row>
    <row r="2" customFormat="false" ht="30" hidden="false" customHeight="true" outlineLevel="0" collapsed="false">
      <c r="A2" s="7" t="s">
        <v>88</v>
      </c>
      <c r="B2" s="7" t="s">
        <v>26</v>
      </c>
      <c r="C2" s="7" t="s">
        <v>139</v>
      </c>
      <c r="D2" s="7" t="s">
        <v>140</v>
      </c>
      <c r="E2" s="7" t="s">
        <v>141</v>
      </c>
      <c r="F2" s="7" t="s">
        <v>142</v>
      </c>
      <c r="G2" s="7" t="s">
        <v>92</v>
      </c>
      <c r="H2" s="7" t="s">
        <v>143</v>
      </c>
      <c r="I2" s="7" t="s">
        <v>144</v>
      </c>
      <c r="J2" s="7" t="s">
        <v>145</v>
      </c>
      <c r="K2" s="7" t="s">
        <v>31</v>
      </c>
      <c r="L2" s="7" t="s">
        <v>146</v>
      </c>
      <c r="M2" s="7" t="s">
        <v>32</v>
      </c>
      <c r="N2" s="7" t="s">
        <v>33</v>
      </c>
    </row>
    <row r="3" customFormat="false" ht="46.25" hidden="false" customHeight="false" outlineLevel="0" collapsed="false">
      <c r="A3" s="8" t="s">
        <v>34</v>
      </c>
      <c r="B3" s="8" t="s">
        <v>147</v>
      </c>
      <c r="C3" s="8" t="s">
        <v>148</v>
      </c>
      <c r="D3" s="8" t="s">
        <v>149</v>
      </c>
      <c r="E3" s="8" t="s">
        <v>150</v>
      </c>
      <c r="F3" s="8" t="n">
        <v>1</v>
      </c>
      <c r="G3" s="8" t="s">
        <v>101</v>
      </c>
      <c r="H3" s="8" t="s">
        <v>151</v>
      </c>
      <c r="I3" s="8" t="s">
        <v>152</v>
      </c>
      <c r="J3" s="8" t="s">
        <v>153</v>
      </c>
      <c r="K3" s="8" t="s">
        <v>154</v>
      </c>
      <c r="L3" s="8" t="s">
        <v>155</v>
      </c>
      <c r="M3" s="8" t="s">
        <v>156</v>
      </c>
      <c r="N3" s="8" t="s">
        <v>157</v>
      </c>
    </row>
    <row r="4" customFormat="false" ht="15" hidden="false" customHeight="false" outlineLevel="0" collapsed="false">
      <c r="A4" s="9" t="s">
        <v>107</v>
      </c>
      <c r="B4" s="9" t="s">
        <v>158</v>
      </c>
      <c r="C4" s="9" t="s">
        <v>159</v>
      </c>
      <c r="D4" s="9"/>
      <c r="E4" s="9" t="s">
        <v>160</v>
      </c>
      <c r="F4" s="9" t="s">
        <v>161</v>
      </c>
      <c r="G4" s="10"/>
      <c r="H4" s="10"/>
      <c r="I4" s="10"/>
      <c r="J4" s="10"/>
      <c r="K4" s="10"/>
      <c r="L4" s="10"/>
      <c r="M4" s="10"/>
      <c r="N4" s="10"/>
    </row>
    <row r="5" customFormat="false" ht="15" hidden="false" customHeight="false" outlineLevel="0" collapsed="false">
      <c r="A5" s="9" t="s">
        <v>107</v>
      </c>
      <c r="B5" s="9" t="s">
        <v>162</v>
      </c>
      <c r="C5" s="9" t="s">
        <v>163</v>
      </c>
      <c r="D5" s="9" t="s">
        <v>160</v>
      </c>
      <c r="E5" s="9" t="s">
        <v>164</v>
      </c>
      <c r="F5" s="9" t="s">
        <v>161</v>
      </c>
      <c r="G5" s="10"/>
      <c r="H5" s="10"/>
      <c r="I5" s="10"/>
      <c r="J5" s="10"/>
      <c r="K5" s="10"/>
      <c r="L5" s="10"/>
      <c r="M5" s="10"/>
      <c r="N5" s="10"/>
    </row>
    <row r="6" customFormat="false" ht="15" hidden="false" customHeight="false" outlineLevel="0" collapsed="false">
      <c r="A6" s="9" t="s">
        <v>110</v>
      </c>
      <c r="B6" s="9" t="s">
        <v>165</v>
      </c>
      <c r="C6" s="9" t="s">
        <v>159</v>
      </c>
      <c r="D6" s="9"/>
      <c r="E6" s="9" t="s">
        <v>166</v>
      </c>
      <c r="F6" s="9" t="s">
        <v>161</v>
      </c>
      <c r="G6" s="10"/>
      <c r="H6" s="10"/>
      <c r="I6" s="10"/>
      <c r="J6" s="10"/>
      <c r="K6" s="10"/>
      <c r="L6" s="10"/>
      <c r="M6" s="10"/>
      <c r="N6" s="10"/>
    </row>
    <row r="7" customFormat="false" ht="23.85" hidden="false" customHeight="false" outlineLevel="0" collapsed="false">
      <c r="A7" s="9" t="s">
        <v>110</v>
      </c>
      <c r="B7" s="9" t="s">
        <v>167</v>
      </c>
      <c r="C7" s="9" t="s">
        <v>148</v>
      </c>
      <c r="D7" s="9" t="s">
        <v>166</v>
      </c>
      <c r="E7" s="9" t="s">
        <v>168</v>
      </c>
      <c r="F7" s="9" t="s">
        <v>161</v>
      </c>
      <c r="G7" s="10"/>
      <c r="H7" s="10"/>
      <c r="I7" s="10"/>
      <c r="J7" s="10"/>
      <c r="K7" s="10"/>
      <c r="L7" s="10"/>
      <c r="M7" s="10"/>
      <c r="N7" s="10"/>
    </row>
    <row r="8" customFormat="false" ht="23.85" hidden="false" customHeight="false" outlineLevel="0" collapsed="false">
      <c r="A8" s="9" t="s">
        <v>110</v>
      </c>
      <c r="B8" s="9" t="s">
        <v>169</v>
      </c>
      <c r="C8" s="9" t="s">
        <v>148</v>
      </c>
      <c r="D8" s="9" t="s">
        <v>168</v>
      </c>
      <c r="E8" s="9" t="s">
        <v>170</v>
      </c>
      <c r="F8" s="9" t="s">
        <v>161</v>
      </c>
      <c r="G8" s="10"/>
      <c r="H8" s="10"/>
      <c r="I8" s="10"/>
      <c r="J8" s="10"/>
      <c r="K8" s="10"/>
      <c r="L8" s="10"/>
      <c r="M8" s="10"/>
      <c r="N8" s="10"/>
    </row>
    <row r="9" customFormat="false" ht="15" hidden="false" customHeight="false" outlineLevel="0" collapsed="false">
      <c r="A9" s="9" t="s">
        <v>110</v>
      </c>
      <c r="B9" s="9" t="s">
        <v>171</v>
      </c>
      <c r="C9" s="9" t="s">
        <v>148</v>
      </c>
      <c r="D9" s="9" t="s">
        <v>170</v>
      </c>
      <c r="E9" s="9" t="s">
        <v>172</v>
      </c>
      <c r="F9" s="9" t="s">
        <v>161</v>
      </c>
      <c r="G9" s="10"/>
      <c r="H9" s="10"/>
      <c r="I9" s="10"/>
      <c r="J9" s="10"/>
      <c r="K9" s="10"/>
      <c r="L9" s="10"/>
      <c r="M9" s="10"/>
      <c r="N9" s="10"/>
    </row>
    <row r="10" customFormat="false" ht="15" hidden="false" customHeight="false" outlineLevel="0" collapsed="false">
      <c r="A10" s="9" t="s">
        <v>113</v>
      </c>
      <c r="B10" s="9" t="s">
        <v>158</v>
      </c>
      <c r="C10" s="9" t="s">
        <v>159</v>
      </c>
      <c r="D10" s="9"/>
      <c r="E10" s="9" t="s">
        <v>160</v>
      </c>
      <c r="F10" s="9" t="s">
        <v>161</v>
      </c>
      <c r="G10" s="10"/>
      <c r="H10" s="10"/>
      <c r="I10" s="10"/>
      <c r="J10" s="10"/>
      <c r="K10" s="10"/>
      <c r="L10" s="10"/>
      <c r="M10" s="10"/>
      <c r="N10" s="10"/>
    </row>
    <row r="11" customFormat="false" ht="15" hidden="false" customHeight="false" outlineLevel="0" collapsed="false">
      <c r="A11" s="9" t="s">
        <v>113</v>
      </c>
      <c r="B11" s="9" t="s">
        <v>173</v>
      </c>
      <c r="C11" s="9" t="s">
        <v>163</v>
      </c>
      <c r="D11" s="9" t="s">
        <v>160</v>
      </c>
      <c r="E11" s="9" t="s">
        <v>164</v>
      </c>
      <c r="F11" s="9" t="s">
        <v>161</v>
      </c>
      <c r="G11" s="10"/>
      <c r="H11" s="10"/>
      <c r="I11" s="10"/>
      <c r="J11" s="10"/>
      <c r="K11" s="10"/>
      <c r="L11" s="10"/>
      <c r="M11" s="10"/>
      <c r="N11" s="10"/>
    </row>
    <row r="12" customFormat="false" ht="15" hidden="false" customHeight="false" outlineLevel="0" collapsed="false">
      <c r="A12" s="9" t="s">
        <v>115</v>
      </c>
      <c r="B12" s="9" t="s">
        <v>158</v>
      </c>
      <c r="C12" s="9" t="s">
        <v>159</v>
      </c>
      <c r="D12" s="9"/>
      <c r="E12" s="9" t="s">
        <v>150</v>
      </c>
      <c r="F12" s="9" t="s">
        <v>161</v>
      </c>
      <c r="G12" s="10"/>
      <c r="H12" s="10"/>
      <c r="I12" s="10"/>
      <c r="J12" s="10"/>
      <c r="K12" s="10"/>
      <c r="L12" s="10"/>
      <c r="M12" s="10"/>
      <c r="N12" s="10"/>
    </row>
    <row r="13" customFormat="false" ht="15" hidden="false" customHeight="false" outlineLevel="0" collapsed="false">
      <c r="A13" s="9" t="s">
        <v>117</v>
      </c>
      <c r="B13" s="9" t="s">
        <v>174</v>
      </c>
      <c r="C13" s="9" t="s">
        <v>159</v>
      </c>
      <c r="D13" s="9"/>
      <c r="E13" s="9" t="s">
        <v>166</v>
      </c>
      <c r="F13" s="9" t="s">
        <v>161</v>
      </c>
      <c r="G13" s="10"/>
      <c r="H13" s="10"/>
      <c r="I13" s="10"/>
      <c r="J13" s="10"/>
      <c r="K13" s="10"/>
      <c r="L13" s="10"/>
      <c r="M13" s="10"/>
      <c r="N13" s="10"/>
    </row>
    <row r="14" customFormat="false" ht="15" hidden="false" customHeight="false" outlineLevel="0" collapsed="false">
      <c r="A14" s="9" t="s">
        <v>119</v>
      </c>
      <c r="B14" s="9" t="s">
        <v>158</v>
      </c>
      <c r="C14" s="9" t="s">
        <v>159</v>
      </c>
      <c r="D14" s="9"/>
      <c r="E14" s="9" t="s">
        <v>160</v>
      </c>
      <c r="F14" s="9" t="s">
        <v>161</v>
      </c>
      <c r="G14" s="10"/>
      <c r="H14" s="10"/>
      <c r="I14" s="10"/>
      <c r="J14" s="10"/>
      <c r="K14" s="10"/>
      <c r="L14" s="10"/>
      <c r="M14" s="10"/>
      <c r="N14" s="10"/>
    </row>
    <row r="15" customFormat="false" ht="15" hidden="false" customHeight="false" outlineLevel="0" collapsed="false">
      <c r="A15" s="9" t="s">
        <v>119</v>
      </c>
      <c r="B15" s="9" t="s">
        <v>175</v>
      </c>
      <c r="C15" s="9" t="s">
        <v>148</v>
      </c>
      <c r="D15" s="9" t="s">
        <v>160</v>
      </c>
      <c r="E15" s="9" t="s">
        <v>150</v>
      </c>
      <c r="F15" s="9" t="s">
        <v>161</v>
      </c>
      <c r="G15" s="10"/>
      <c r="H15" s="10"/>
      <c r="I15" s="10"/>
      <c r="J15" s="10"/>
      <c r="K15" s="10"/>
      <c r="L15" s="10"/>
      <c r="M15" s="10"/>
      <c r="N15" s="10"/>
    </row>
    <row r="16" customFormat="false" ht="15" hidden="false" customHeight="false" outlineLevel="0" collapsed="false">
      <c r="A16" s="9" t="s">
        <v>121</v>
      </c>
      <c r="B16" s="9" t="s">
        <v>176</v>
      </c>
      <c r="C16" s="9" t="s">
        <v>159</v>
      </c>
      <c r="D16" s="9"/>
      <c r="E16" s="9" t="s">
        <v>172</v>
      </c>
      <c r="F16" s="9" t="s">
        <v>161</v>
      </c>
      <c r="G16" s="10"/>
      <c r="H16" s="10"/>
      <c r="I16" s="10"/>
      <c r="J16" s="10"/>
      <c r="K16" s="10"/>
      <c r="L16" s="10"/>
      <c r="M16" s="10"/>
      <c r="N16" s="10"/>
    </row>
    <row r="17" customFormat="false" ht="15" hidden="false" customHeight="false" outlineLevel="0" collapsed="false">
      <c r="A17" s="9" t="s">
        <v>123</v>
      </c>
      <c r="B17" s="9" t="s">
        <v>177</v>
      </c>
      <c r="C17" s="9" t="s">
        <v>159</v>
      </c>
      <c r="D17" s="9"/>
      <c r="E17" s="9" t="s">
        <v>178</v>
      </c>
      <c r="F17" s="9" t="s">
        <v>161</v>
      </c>
      <c r="G17" s="10"/>
      <c r="H17" s="10"/>
      <c r="I17" s="10"/>
      <c r="J17" s="10"/>
      <c r="K17" s="10"/>
      <c r="L17" s="10"/>
      <c r="M17" s="10"/>
      <c r="N17" s="10"/>
    </row>
    <row r="18" customFormat="false" ht="15" hidden="false" customHeight="false" outlineLevel="0" collapsed="false">
      <c r="A18" s="9" t="s">
        <v>123</v>
      </c>
      <c r="B18" s="9" t="s">
        <v>179</v>
      </c>
      <c r="C18" s="9" t="s">
        <v>148</v>
      </c>
      <c r="D18" s="9" t="s">
        <v>178</v>
      </c>
      <c r="E18" s="9" t="s">
        <v>150</v>
      </c>
      <c r="F18" s="9" t="s">
        <v>161</v>
      </c>
      <c r="G18" s="10"/>
      <c r="H18" s="10"/>
      <c r="I18" s="10"/>
      <c r="J18" s="10"/>
      <c r="K18" s="10"/>
      <c r="L18" s="10"/>
      <c r="M18" s="10"/>
      <c r="N18" s="10"/>
    </row>
    <row r="19" customFormat="false" ht="15" hidden="false" customHeight="false" outlineLevel="0" collapsed="false">
      <c r="A19" s="9" t="s">
        <v>126</v>
      </c>
      <c r="B19" s="9" t="s">
        <v>147</v>
      </c>
      <c r="C19" s="9" t="s">
        <v>159</v>
      </c>
      <c r="D19" s="9"/>
      <c r="E19" s="9" t="s">
        <v>166</v>
      </c>
      <c r="F19" s="9" t="s">
        <v>161</v>
      </c>
      <c r="G19" s="10"/>
      <c r="H19" s="10"/>
      <c r="I19" s="10"/>
      <c r="J19" s="10"/>
      <c r="K19" s="10"/>
      <c r="L19" s="10"/>
      <c r="M19" s="10"/>
      <c r="N19" s="10"/>
    </row>
    <row r="20" customFormat="false" ht="15" hidden="false" customHeight="false" outlineLevel="0" collapsed="false">
      <c r="A20" s="9" t="s">
        <v>126</v>
      </c>
      <c r="B20" s="9" t="s">
        <v>180</v>
      </c>
      <c r="C20" s="9" t="s">
        <v>148</v>
      </c>
      <c r="D20" s="9" t="s">
        <v>166</v>
      </c>
      <c r="E20" s="9" t="s">
        <v>172</v>
      </c>
      <c r="F20" s="9" t="s">
        <v>161</v>
      </c>
      <c r="G20" s="10"/>
      <c r="H20" s="10"/>
      <c r="I20" s="10"/>
      <c r="J20" s="10"/>
      <c r="K20" s="10"/>
      <c r="L20" s="10"/>
      <c r="M20" s="10"/>
      <c r="N20" s="10"/>
    </row>
    <row r="21" customFormat="false" ht="15" hidden="false" customHeight="false" outlineLevel="0" collapsed="false">
      <c r="A21" s="9" t="s">
        <v>129</v>
      </c>
      <c r="B21" s="9" t="s">
        <v>181</v>
      </c>
      <c r="C21" s="9" t="s">
        <v>159</v>
      </c>
      <c r="D21" s="9"/>
      <c r="E21" s="9" t="s">
        <v>150</v>
      </c>
      <c r="F21" s="9" t="s">
        <v>161</v>
      </c>
      <c r="G21" s="10"/>
      <c r="H21" s="10"/>
      <c r="I21" s="10"/>
      <c r="J21" s="10"/>
      <c r="K21" s="10"/>
      <c r="L21" s="10"/>
      <c r="M21" s="10"/>
      <c r="N21" s="10"/>
    </row>
    <row r="22" customFormat="false" ht="15" hidden="false" customHeight="false" outlineLevel="0" collapsed="false">
      <c r="A22" s="9" t="s">
        <v>129</v>
      </c>
      <c r="B22" s="9" t="s">
        <v>182</v>
      </c>
      <c r="C22" s="9" t="s">
        <v>148</v>
      </c>
      <c r="D22" s="9" t="s">
        <v>150</v>
      </c>
      <c r="E22" s="9" t="s">
        <v>160</v>
      </c>
      <c r="F22" s="9" t="s">
        <v>161</v>
      </c>
      <c r="G22" s="10"/>
      <c r="H22" s="10"/>
      <c r="I22" s="10"/>
      <c r="J22" s="10"/>
      <c r="K22" s="10"/>
      <c r="L22" s="10"/>
      <c r="M22" s="10"/>
      <c r="N22" s="10"/>
    </row>
    <row r="23" customFormat="false" ht="15" hidden="false" customHeight="false" outlineLevel="0" collapsed="false">
      <c r="A23" s="9" t="s">
        <v>129</v>
      </c>
      <c r="B23" s="9" t="s">
        <v>162</v>
      </c>
      <c r="C23" s="9" t="s">
        <v>163</v>
      </c>
      <c r="D23" s="9" t="s">
        <v>160</v>
      </c>
      <c r="E23" s="9" t="s">
        <v>164</v>
      </c>
      <c r="F23" s="9" t="s">
        <v>161</v>
      </c>
      <c r="G23" s="10"/>
      <c r="H23" s="10"/>
      <c r="I23" s="10"/>
      <c r="J23" s="10"/>
      <c r="K23" s="10"/>
      <c r="L23" s="10"/>
      <c r="M23" s="10"/>
      <c r="N23" s="10"/>
    </row>
    <row r="24" customFormat="false" ht="15" hidden="false" customHeight="false" outlineLevel="0" collapsed="false">
      <c r="A24" s="9" t="s">
        <v>131</v>
      </c>
      <c r="B24" s="9" t="s">
        <v>158</v>
      </c>
      <c r="C24" s="9" t="s">
        <v>159</v>
      </c>
      <c r="D24" s="9"/>
      <c r="E24" s="9" t="s">
        <v>166</v>
      </c>
      <c r="F24" s="9" t="s">
        <v>161</v>
      </c>
      <c r="G24" s="10"/>
      <c r="H24" s="10"/>
      <c r="I24" s="10"/>
      <c r="J24" s="10"/>
      <c r="K24" s="10"/>
      <c r="L24" s="10"/>
      <c r="M24" s="10"/>
      <c r="N24" s="10"/>
    </row>
    <row r="25" customFormat="false" ht="23.85" hidden="false" customHeight="false" outlineLevel="0" collapsed="false">
      <c r="A25" s="9" t="s">
        <v>131</v>
      </c>
      <c r="B25" s="9" t="s">
        <v>169</v>
      </c>
      <c r="C25" s="9" t="s">
        <v>148</v>
      </c>
      <c r="D25" s="9" t="s">
        <v>166</v>
      </c>
      <c r="E25" s="9" t="s">
        <v>149</v>
      </c>
      <c r="F25" s="9" t="s">
        <v>161</v>
      </c>
      <c r="G25" s="10"/>
      <c r="H25" s="10"/>
      <c r="I25" s="10"/>
      <c r="J25" s="10"/>
      <c r="K25" s="10"/>
      <c r="L25" s="10"/>
      <c r="M25" s="10"/>
      <c r="N25" s="10"/>
    </row>
    <row r="26" customFormat="false" ht="23.85" hidden="false" customHeight="false" outlineLevel="0" collapsed="false">
      <c r="A26" s="9" t="s">
        <v>131</v>
      </c>
      <c r="B26" s="9" t="s">
        <v>147</v>
      </c>
      <c r="C26" s="9" t="s">
        <v>148</v>
      </c>
      <c r="D26" s="9" t="s">
        <v>149</v>
      </c>
      <c r="E26" s="9" t="s">
        <v>150</v>
      </c>
      <c r="F26" s="9" t="s">
        <v>161</v>
      </c>
      <c r="G26" s="10"/>
      <c r="H26" s="10"/>
      <c r="I26" s="10"/>
      <c r="J26" s="10"/>
      <c r="K26" s="10"/>
      <c r="L26" s="10"/>
      <c r="M26" s="10"/>
      <c r="N26" s="10"/>
    </row>
    <row r="27" customFormat="false" ht="15" hidden="false" customHeight="false" outlineLevel="0" collapsed="false">
      <c r="A27" s="9" t="s">
        <v>132</v>
      </c>
      <c r="B27" s="9" t="s">
        <v>158</v>
      </c>
      <c r="C27" s="9" t="s">
        <v>159</v>
      </c>
      <c r="D27" s="9"/>
      <c r="E27" s="9" t="s">
        <v>150</v>
      </c>
      <c r="F27" s="9" t="s">
        <v>161</v>
      </c>
      <c r="G27" s="10"/>
      <c r="H27" s="10"/>
      <c r="I27" s="10"/>
      <c r="J27" s="10"/>
      <c r="K27" s="10"/>
      <c r="L27" s="10"/>
      <c r="M27" s="10"/>
      <c r="N27" s="10"/>
    </row>
    <row r="28" customFormat="false" ht="15" hidden="false" customHeight="false" outlineLevel="0" collapsed="false">
      <c r="A28" s="9" t="s">
        <v>132</v>
      </c>
      <c r="B28" s="9" t="s">
        <v>183</v>
      </c>
      <c r="C28" s="9" t="s">
        <v>148</v>
      </c>
      <c r="D28" s="9" t="s">
        <v>150</v>
      </c>
      <c r="E28" s="9" t="s">
        <v>166</v>
      </c>
      <c r="F28" s="9" t="s">
        <v>161</v>
      </c>
      <c r="G28" s="10"/>
      <c r="H28" s="10"/>
      <c r="I28" s="10"/>
      <c r="J28" s="10"/>
      <c r="K28" s="10"/>
      <c r="L28" s="10"/>
      <c r="M28" s="10"/>
      <c r="N28" s="10"/>
    </row>
    <row r="29" customFormat="false" ht="15" hidden="false" customHeight="false" outlineLevel="0" collapsed="false">
      <c r="A29" s="9" t="s">
        <v>134</v>
      </c>
      <c r="B29" s="9" t="s">
        <v>184</v>
      </c>
      <c r="C29" s="9" t="s">
        <v>159</v>
      </c>
      <c r="D29" s="9"/>
      <c r="E29" s="9" t="s">
        <v>166</v>
      </c>
      <c r="F29" s="9" t="s">
        <v>161</v>
      </c>
      <c r="G29" s="10"/>
      <c r="H29" s="10"/>
      <c r="I29" s="10"/>
      <c r="J29" s="10"/>
      <c r="K29" s="10"/>
      <c r="L29" s="10"/>
      <c r="M29" s="10"/>
      <c r="N29" s="10"/>
    </row>
    <row r="30" customFormat="false" ht="15" hidden="false" customHeight="false" outlineLevel="0" collapsed="false">
      <c r="A30" s="9" t="s">
        <v>136</v>
      </c>
      <c r="B30" s="9" t="s">
        <v>158</v>
      </c>
      <c r="C30" s="9" t="s">
        <v>159</v>
      </c>
      <c r="D30" s="9"/>
      <c r="E30" s="9" t="s">
        <v>160</v>
      </c>
      <c r="F30" s="9" t="s">
        <v>161</v>
      </c>
      <c r="G30" s="10"/>
      <c r="H30" s="10"/>
      <c r="I30" s="10"/>
      <c r="J30" s="10"/>
      <c r="K30" s="10"/>
      <c r="L30" s="10"/>
      <c r="M30" s="10"/>
      <c r="N30" s="10"/>
    </row>
    <row r="31" customFormat="false" ht="15" hidden="false" customHeight="false" outlineLevel="0" collapsed="false">
      <c r="A31" s="9" t="s">
        <v>136</v>
      </c>
      <c r="B31" s="9" t="s">
        <v>185</v>
      </c>
      <c r="C31" s="9" t="s">
        <v>148</v>
      </c>
      <c r="D31" s="9" t="s">
        <v>160</v>
      </c>
      <c r="E31" s="9" t="s">
        <v>150</v>
      </c>
      <c r="F31" s="9" t="s">
        <v>161</v>
      </c>
      <c r="G31" s="10"/>
      <c r="H31" s="10"/>
      <c r="I31" s="10"/>
      <c r="J31" s="10"/>
      <c r="K31" s="10"/>
      <c r="L31" s="10"/>
      <c r="M31" s="10"/>
      <c r="N31" s="10"/>
    </row>
  </sheetData>
  <autoFilter ref="A2:N31"/>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8"/>
    <col collapsed="false" customWidth="true" hidden="false" outlineLevel="0" max="4" min="4" style="0" width="12"/>
    <col collapsed="false" customWidth="true" hidden="false" outlineLevel="0" max="6" min="5" style="0" width="46"/>
    <col collapsed="false" customWidth="true" hidden="false" outlineLevel="0" max="7" min="7" style="0" width="12"/>
    <col collapsed="false" customWidth="true" hidden="false" outlineLevel="0" max="8" min="8" style="0" width="34"/>
  </cols>
  <sheetData>
    <row r="1" customFormat="false" ht="30" hidden="false" customHeight="true" outlineLevel="0" collapsed="false">
      <c r="A1" s="6" t="s">
        <v>186</v>
      </c>
      <c r="B1" s="6"/>
      <c r="C1" s="6"/>
      <c r="D1" s="6"/>
      <c r="E1" s="6"/>
      <c r="F1" s="6"/>
      <c r="G1" s="6"/>
      <c r="H1" s="6"/>
    </row>
    <row r="2" customFormat="false" ht="30" hidden="false" customHeight="true" outlineLevel="0" collapsed="false">
      <c r="A2" s="7" t="s">
        <v>23</v>
      </c>
      <c r="B2" s="7" t="s">
        <v>24</v>
      </c>
      <c r="C2" s="7" t="s">
        <v>143</v>
      </c>
      <c r="D2" s="7" t="s">
        <v>187</v>
      </c>
      <c r="E2" s="7" t="s">
        <v>188</v>
      </c>
      <c r="F2" s="7" t="s">
        <v>28</v>
      </c>
      <c r="G2" s="7" t="s">
        <v>189</v>
      </c>
      <c r="H2" s="7" t="s">
        <v>33</v>
      </c>
    </row>
    <row r="3" customFormat="false" ht="23.85" hidden="false" customHeight="false" outlineLevel="0" collapsed="false">
      <c r="A3" s="8" t="s">
        <v>34</v>
      </c>
      <c r="B3" s="8" t="s">
        <v>35</v>
      </c>
      <c r="C3" s="8" t="s">
        <v>36</v>
      </c>
      <c r="D3" s="8" t="s">
        <v>190</v>
      </c>
      <c r="E3" s="8" t="s">
        <v>191</v>
      </c>
      <c r="F3" s="8" t="s">
        <v>192</v>
      </c>
      <c r="G3" s="8" t="s">
        <v>40</v>
      </c>
      <c r="H3" s="8" t="s">
        <v>193</v>
      </c>
    </row>
    <row r="4" customFormat="false" ht="23.85" hidden="false" customHeight="false" outlineLevel="0" collapsed="false">
      <c r="A4" s="9" t="s">
        <v>194</v>
      </c>
      <c r="B4" s="9" t="s">
        <v>195</v>
      </c>
      <c r="C4" s="9" t="s">
        <v>36</v>
      </c>
      <c r="D4" s="9" t="s">
        <v>185</v>
      </c>
      <c r="E4" s="9" t="s">
        <v>196</v>
      </c>
      <c r="F4" s="9" t="s">
        <v>197</v>
      </c>
      <c r="G4" s="10"/>
      <c r="H4" s="10"/>
    </row>
    <row r="5" customFormat="false" ht="23.85" hidden="false" customHeight="false" outlineLevel="0" collapsed="false">
      <c r="A5" s="9" t="s">
        <v>198</v>
      </c>
      <c r="B5" s="9" t="s">
        <v>199</v>
      </c>
      <c r="C5" s="9" t="s">
        <v>36</v>
      </c>
      <c r="D5" s="9" t="s">
        <v>190</v>
      </c>
      <c r="E5" s="9" t="s">
        <v>200</v>
      </c>
      <c r="F5" s="9" t="s">
        <v>201</v>
      </c>
      <c r="G5" s="10"/>
      <c r="H5" s="10"/>
    </row>
    <row r="6" customFormat="false" ht="23.85" hidden="false" customHeight="false" outlineLevel="0" collapsed="false">
      <c r="A6" s="9" t="s">
        <v>202</v>
      </c>
      <c r="B6" s="9" t="s">
        <v>203</v>
      </c>
      <c r="C6" s="9" t="s">
        <v>36</v>
      </c>
      <c r="D6" s="9" t="s">
        <v>190</v>
      </c>
      <c r="E6" s="9" t="s">
        <v>204</v>
      </c>
      <c r="F6" s="9" t="s">
        <v>205</v>
      </c>
      <c r="G6" s="10"/>
      <c r="H6" s="10"/>
    </row>
    <row r="7" customFormat="false" ht="23.85" hidden="false" customHeight="false" outlineLevel="0" collapsed="false">
      <c r="A7" s="9" t="s">
        <v>206</v>
      </c>
      <c r="B7" s="9" t="s">
        <v>207</v>
      </c>
      <c r="C7" s="9" t="s">
        <v>36</v>
      </c>
      <c r="D7" s="9" t="s">
        <v>190</v>
      </c>
      <c r="E7" s="9" t="s">
        <v>208</v>
      </c>
      <c r="F7" s="9" t="s">
        <v>209</v>
      </c>
      <c r="G7" s="10"/>
      <c r="H7" s="10"/>
    </row>
    <row r="8" customFormat="false" ht="23.85" hidden="false" customHeight="false" outlineLevel="0" collapsed="false">
      <c r="A8" s="9" t="s">
        <v>210</v>
      </c>
      <c r="B8" s="9" t="s">
        <v>211</v>
      </c>
      <c r="C8" s="9" t="s">
        <v>36</v>
      </c>
      <c r="D8" s="9" t="s">
        <v>64</v>
      </c>
      <c r="E8" s="9" t="s">
        <v>212</v>
      </c>
      <c r="F8" s="9" t="s">
        <v>213</v>
      </c>
      <c r="G8" s="10"/>
      <c r="H8" s="10"/>
    </row>
    <row r="9" customFormat="false" ht="23.85" hidden="false" customHeight="false" outlineLevel="0" collapsed="false">
      <c r="A9" s="9" t="s">
        <v>214</v>
      </c>
      <c r="B9" s="9" t="s">
        <v>215</v>
      </c>
      <c r="C9" s="9" t="s">
        <v>36</v>
      </c>
      <c r="D9" s="9" t="s">
        <v>190</v>
      </c>
      <c r="E9" s="9" t="s">
        <v>216</v>
      </c>
      <c r="F9" s="9" t="s">
        <v>217</v>
      </c>
      <c r="G9" s="10"/>
      <c r="H9" s="10"/>
    </row>
    <row r="10" customFormat="false" ht="23.85" hidden="false" customHeight="false" outlineLevel="0" collapsed="false">
      <c r="A10" s="9" t="s">
        <v>218</v>
      </c>
      <c r="B10" s="9" t="s">
        <v>219</v>
      </c>
      <c r="C10" s="9" t="s">
        <v>36</v>
      </c>
      <c r="D10" s="9" t="s">
        <v>220</v>
      </c>
      <c r="E10" s="9" t="s">
        <v>221</v>
      </c>
      <c r="F10" s="9" t="s">
        <v>222</v>
      </c>
      <c r="G10" s="10"/>
      <c r="H10" s="10"/>
    </row>
    <row r="11" customFormat="false" ht="23.85" hidden="false" customHeight="false" outlineLevel="0" collapsed="false">
      <c r="A11" s="9" t="s">
        <v>223</v>
      </c>
      <c r="B11" s="9" t="s">
        <v>224</v>
      </c>
      <c r="C11" s="9" t="s">
        <v>36</v>
      </c>
      <c r="D11" s="9" t="s">
        <v>225</v>
      </c>
      <c r="E11" s="9" t="s">
        <v>226</v>
      </c>
      <c r="F11" s="9" t="s">
        <v>227</v>
      </c>
      <c r="G11" s="10"/>
      <c r="H11" s="10"/>
    </row>
    <row r="12" customFormat="false" ht="23.85" hidden="false" customHeight="false" outlineLevel="0" collapsed="false">
      <c r="A12" s="9" t="s">
        <v>228</v>
      </c>
      <c r="B12" s="9" t="s">
        <v>229</v>
      </c>
      <c r="C12" s="9" t="s">
        <v>36</v>
      </c>
      <c r="D12" s="9" t="s">
        <v>230</v>
      </c>
      <c r="E12" s="9" t="s">
        <v>231</v>
      </c>
      <c r="F12" s="9" t="s">
        <v>232</v>
      </c>
      <c r="G12" s="10"/>
      <c r="H12" s="10"/>
    </row>
    <row r="13" customFormat="false" ht="23.85" hidden="false" customHeight="false" outlineLevel="0" collapsed="false">
      <c r="A13" s="9" t="s">
        <v>233</v>
      </c>
      <c r="B13" s="9" t="s">
        <v>234</v>
      </c>
      <c r="C13" s="9" t="s">
        <v>36</v>
      </c>
      <c r="D13" s="9" t="s">
        <v>190</v>
      </c>
      <c r="E13" s="9" t="s">
        <v>235</v>
      </c>
      <c r="F13" s="9" t="s">
        <v>236</v>
      </c>
      <c r="G13" s="10"/>
      <c r="H13" s="10"/>
    </row>
    <row r="14" customFormat="false" ht="23.85" hidden="false" customHeight="false" outlineLevel="0" collapsed="false">
      <c r="A14" s="9" t="s">
        <v>237</v>
      </c>
      <c r="B14" s="9" t="s">
        <v>238</v>
      </c>
      <c r="C14" s="9" t="s">
        <v>36</v>
      </c>
      <c r="D14" s="9" t="s">
        <v>190</v>
      </c>
      <c r="E14" s="9" t="s">
        <v>239</v>
      </c>
      <c r="F14" s="9" t="s">
        <v>240</v>
      </c>
      <c r="G14" s="10"/>
      <c r="H14" s="10"/>
    </row>
    <row r="15" customFormat="false" ht="23.85" hidden="false" customHeight="false" outlineLevel="0" collapsed="false">
      <c r="A15" s="9" t="s">
        <v>241</v>
      </c>
      <c r="B15" s="9" t="s">
        <v>242</v>
      </c>
      <c r="C15" s="9" t="s">
        <v>36</v>
      </c>
      <c r="D15" s="9" t="s">
        <v>190</v>
      </c>
      <c r="E15" s="9" t="s">
        <v>243</v>
      </c>
      <c r="F15" s="9" t="s">
        <v>244</v>
      </c>
      <c r="G15" s="10"/>
      <c r="H15" s="10"/>
    </row>
    <row r="16" customFormat="false" ht="23.85" hidden="false" customHeight="false" outlineLevel="0" collapsed="false">
      <c r="A16" s="9" t="s">
        <v>245</v>
      </c>
      <c r="B16" s="9" t="s">
        <v>246</v>
      </c>
      <c r="C16" s="9" t="s">
        <v>36</v>
      </c>
      <c r="D16" s="9" t="s">
        <v>247</v>
      </c>
      <c r="E16" s="9" t="s">
        <v>248</v>
      </c>
      <c r="F16" s="9" t="s">
        <v>249</v>
      </c>
      <c r="G16" s="10"/>
      <c r="H16" s="10"/>
    </row>
    <row r="17" customFormat="false" ht="23.85" hidden="false" customHeight="false" outlineLevel="0" collapsed="false">
      <c r="A17" s="9" t="s">
        <v>250</v>
      </c>
      <c r="B17" s="9" t="s">
        <v>251</v>
      </c>
      <c r="C17" s="9" t="s">
        <v>36</v>
      </c>
      <c r="D17" s="9" t="s">
        <v>252</v>
      </c>
      <c r="E17" s="9" t="s">
        <v>253</v>
      </c>
      <c r="F17" s="9" t="s">
        <v>254</v>
      </c>
      <c r="G17" s="10"/>
      <c r="H17" s="10"/>
    </row>
    <row r="18" customFormat="false" ht="23.85" hidden="false" customHeight="false" outlineLevel="0" collapsed="false">
      <c r="A18" s="9" t="s">
        <v>255</v>
      </c>
      <c r="B18" s="9" t="s">
        <v>256</v>
      </c>
      <c r="C18" s="9" t="s">
        <v>36</v>
      </c>
      <c r="D18" s="9" t="s">
        <v>190</v>
      </c>
      <c r="E18" s="9" t="s">
        <v>257</v>
      </c>
      <c r="F18" s="9" t="s">
        <v>258</v>
      </c>
      <c r="G18" s="10"/>
      <c r="H18" s="10"/>
    </row>
    <row r="19" customFormat="false" ht="23.85" hidden="false" customHeight="false" outlineLevel="0" collapsed="false">
      <c r="A19" s="9" t="s">
        <v>259</v>
      </c>
      <c r="B19" s="9" t="s">
        <v>260</v>
      </c>
      <c r="C19" s="9" t="s">
        <v>36</v>
      </c>
      <c r="D19" s="9" t="s">
        <v>261</v>
      </c>
      <c r="E19" s="9" t="s">
        <v>262</v>
      </c>
      <c r="F19" s="9" t="s">
        <v>263</v>
      </c>
      <c r="G19" s="10"/>
      <c r="H19" s="10"/>
    </row>
    <row r="20" customFormat="false" ht="23.85" hidden="false" customHeight="false" outlineLevel="0" collapsed="false">
      <c r="A20" s="9" t="s">
        <v>264</v>
      </c>
      <c r="B20" s="9" t="s">
        <v>265</v>
      </c>
      <c r="C20" s="9" t="s">
        <v>36</v>
      </c>
      <c r="D20" s="9" t="s">
        <v>261</v>
      </c>
      <c r="E20" s="9" t="s">
        <v>266</v>
      </c>
      <c r="F20" s="9" t="s">
        <v>267</v>
      </c>
      <c r="G20" s="10"/>
      <c r="H20" s="10"/>
    </row>
    <row r="21" customFormat="false" ht="23.85" hidden="false" customHeight="false" outlineLevel="0" collapsed="false">
      <c r="A21" s="9" t="s">
        <v>268</v>
      </c>
      <c r="B21" s="9" t="s">
        <v>269</v>
      </c>
      <c r="C21" s="9" t="s">
        <v>36</v>
      </c>
      <c r="D21" s="9" t="s">
        <v>261</v>
      </c>
      <c r="E21" s="9" t="s">
        <v>270</v>
      </c>
      <c r="F21" s="9" t="s">
        <v>271</v>
      </c>
      <c r="G21" s="10"/>
      <c r="H21" s="10"/>
    </row>
    <row r="22" customFormat="false" ht="23.85" hidden="false" customHeight="false" outlineLevel="0" collapsed="false">
      <c r="A22" s="9" t="s">
        <v>272</v>
      </c>
      <c r="B22" s="9" t="s">
        <v>273</v>
      </c>
      <c r="C22" s="9" t="s">
        <v>36</v>
      </c>
      <c r="D22" s="9" t="s">
        <v>261</v>
      </c>
      <c r="E22" s="9" t="s">
        <v>274</v>
      </c>
      <c r="F22" s="9" t="s">
        <v>275</v>
      </c>
      <c r="G22" s="10"/>
      <c r="H22" s="10"/>
    </row>
    <row r="23" customFormat="false" ht="23.85" hidden="false" customHeight="false" outlineLevel="0" collapsed="false">
      <c r="A23" s="9" t="s">
        <v>276</v>
      </c>
      <c r="B23" s="9" t="s">
        <v>277</v>
      </c>
      <c r="C23" s="9" t="s">
        <v>36</v>
      </c>
      <c r="D23" s="9" t="s">
        <v>278</v>
      </c>
      <c r="E23" s="9" t="s">
        <v>279</v>
      </c>
      <c r="F23" s="9" t="s">
        <v>280</v>
      </c>
      <c r="G23" s="10"/>
      <c r="H23" s="10"/>
    </row>
    <row r="24" customFormat="false" ht="35.05" hidden="false" customHeight="false" outlineLevel="0" collapsed="false">
      <c r="A24" s="9"/>
      <c r="B24" s="9" t="s">
        <v>195</v>
      </c>
      <c r="C24" s="9" t="s">
        <v>36</v>
      </c>
      <c r="D24" s="9" t="s">
        <v>281</v>
      </c>
      <c r="E24" s="9" t="s">
        <v>282</v>
      </c>
      <c r="F24" s="9" t="s">
        <v>283</v>
      </c>
      <c r="G24" s="10"/>
      <c r="H24" s="10"/>
    </row>
    <row r="25" customFormat="false" ht="35.05" hidden="false" customHeight="false" outlineLevel="0" collapsed="false">
      <c r="A25" s="9"/>
      <c r="B25" s="9" t="s">
        <v>284</v>
      </c>
      <c r="C25" s="9" t="s">
        <v>36</v>
      </c>
      <c r="D25" s="9" t="s">
        <v>285</v>
      </c>
      <c r="E25" s="9" t="s">
        <v>282</v>
      </c>
      <c r="F25" s="9" t="s">
        <v>286</v>
      </c>
      <c r="G25" s="10"/>
      <c r="H25" s="10"/>
    </row>
    <row r="26" customFormat="false" ht="35.05" hidden="false" customHeight="false" outlineLevel="0" collapsed="false">
      <c r="A26" s="9"/>
      <c r="B26" s="9" t="s">
        <v>287</v>
      </c>
      <c r="C26" s="9" t="s">
        <v>36</v>
      </c>
      <c r="D26" s="9" t="s">
        <v>288</v>
      </c>
      <c r="E26" s="9" t="s">
        <v>282</v>
      </c>
      <c r="F26" s="9" t="s">
        <v>289</v>
      </c>
      <c r="G26" s="10"/>
      <c r="H26" s="10"/>
    </row>
    <row r="27" customFormat="false" ht="35.05" hidden="false" customHeight="false" outlineLevel="0" collapsed="false">
      <c r="A27" s="9"/>
      <c r="B27" s="9" t="s">
        <v>211</v>
      </c>
      <c r="C27" s="9" t="s">
        <v>36</v>
      </c>
      <c r="D27" s="9" t="s">
        <v>290</v>
      </c>
      <c r="E27" s="9" t="s">
        <v>282</v>
      </c>
      <c r="F27" s="9" t="s">
        <v>291</v>
      </c>
      <c r="G27" s="10"/>
      <c r="H27" s="10"/>
    </row>
    <row r="28" customFormat="false" ht="35.05" hidden="false" customHeight="false" outlineLevel="0" collapsed="false">
      <c r="A28" s="9"/>
      <c r="B28" s="9" t="s">
        <v>260</v>
      </c>
      <c r="C28" s="9" t="s">
        <v>36</v>
      </c>
      <c r="D28" s="9" t="s">
        <v>292</v>
      </c>
      <c r="E28" s="9" t="s">
        <v>282</v>
      </c>
      <c r="F28" s="9" t="s">
        <v>293</v>
      </c>
      <c r="G28" s="10"/>
      <c r="H28" s="10"/>
    </row>
    <row r="29" customFormat="false" ht="35.05" hidden="false" customHeight="false" outlineLevel="0" collapsed="false">
      <c r="A29" s="9"/>
      <c r="B29" s="9" t="s">
        <v>219</v>
      </c>
      <c r="C29" s="9" t="s">
        <v>36</v>
      </c>
      <c r="D29" s="9" t="s">
        <v>288</v>
      </c>
      <c r="E29" s="9" t="s">
        <v>282</v>
      </c>
      <c r="F29" s="9" t="s">
        <v>294</v>
      </c>
      <c r="G29" s="10"/>
      <c r="H29" s="10"/>
    </row>
    <row r="30" customFormat="false" ht="35.05" hidden="false" customHeight="false" outlineLevel="0" collapsed="false">
      <c r="A30" s="9"/>
      <c r="B30" s="9" t="s">
        <v>295</v>
      </c>
      <c r="C30" s="9" t="s">
        <v>36</v>
      </c>
      <c r="D30" s="9" t="s">
        <v>296</v>
      </c>
      <c r="E30" s="9" t="s">
        <v>282</v>
      </c>
      <c r="F30" s="9" t="s">
        <v>297</v>
      </c>
      <c r="G30" s="10"/>
      <c r="H30" s="10"/>
    </row>
    <row r="31" customFormat="false" ht="35.05" hidden="false" customHeight="false" outlineLevel="0" collapsed="false">
      <c r="A31" s="9"/>
      <c r="B31" s="9" t="s">
        <v>265</v>
      </c>
      <c r="C31" s="9" t="s">
        <v>36</v>
      </c>
      <c r="D31" s="9" t="s">
        <v>292</v>
      </c>
      <c r="E31" s="9" t="s">
        <v>282</v>
      </c>
      <c r="F31" s="9" t="s">
        <v>298</v>
      </c>
      <c r="G31" s="10"/>
      <c r="H31" s="10"/>
    </row>
    <row r="32" customFormat="false" ht="35.05" hidden="false" customHeight="false" outlineLevel="0" collapsed="false">
      <c r="A32" s="9"/>
      <c r="B32" s="9" t="s">
        <v>299</v>
      </c>
      <c r="C32" s="9" t="s">
        <v>36</v>
      </c>
      <c r="D32" s="9" t="s">
        <v>285</v>
      </c>
      <c r="E32" s="9" t="s">
        <v>282</v>
      </c>
      <c r="F32" s="9" t="s">
        <v>300</v>
      </c>
      <c r="G32" s="10"/>
      <c r="H32" s="10"/>
    </row>
    <row r="33" customFormat="false" ht="35.05" hidden="false" customHeight="false" outlineLevel="0" collapsed="false">
      <c r="A33" s="9"/>
      <c r="B33" s="9" t="s">
        <v>301</v>
      </c>
      <c r="C33" s="9" t="s">
        <v>36</v>
      </c>
      <c r="D33" s="9" t="s">
        <v>278</v>
      </c>
      <c r="E33" s="9" t="s">
        <v>282</v>
      </c>
      <c r="F33" s="9" t="s">
        <v>302</v>
      </c>
      <c r="G33" s="10"/>
      <c r="H33" s="10"/>
    </row>
    <row r="34" customFormat="false" ht="35.05" hidden="false" customHeight="false" outlineLevel="0" collapsed="false">
      <c r="A34" s="9"/>
      <c r="B34" s="9" t="s">
        <v>303</v>
      </c>
      <c r="C34" s="9" t="s">
        <v>36</v>
      </c>
      <c r="D34" s="9" t="s">
        <v>292</v>
      </c>
      <c r="E34" s="9" t="s">
        <v>282</v>
      </c>
      <c r="F34" s="9" t="s">
        <v>304</v>
      </c>
      <c r="G34" s="10"/>
      <c r="H34" s="10"/>
    </row>
    <row r="35" customFormat="false" ht="35.05" hidden="false" customHeight="false" outlineLevel="0" collapsed="false">
      <c r="A35" s="9"/>
      <c r="B35" s="9" t="s">
        <v>273</v>
      </c>
      <c r="C35" s="9" t="s">
        <v>36</v>
      </c>
      <c r="D35" s="9" t="s">
        <v>292</v>
      </c>
      <c r="E35" s="9" t="s">
        <v>282</v>
      </c>
      <c r="F35" s="9" t="s">
        <v>305</v>
      </c>
      <c r="G35" s="10"/>
      <c r="H35" s="10"/>
    </row>
    <row r="36" customFormat="false" ht="35.05" hidden="false" customHeight="false" outlineLevel="0" collapsed="false">
      <c r="A36" s="9"/>
      <c r="B36" s="9" t="s">
        <v>306</v>
      </c>
      <c r="C36" s="9" t="s">
        <v>36</v>
      </c>
      <c r="D36" s="9" t="s">
        <v>278</v>
      </c>
      <c r="E36" s="9" t="s">
        <v>282</v>
      </c>
      <c r="F36" s="9" t="s">
        <v>307</v>
      </c>
      <c r="G36" s="10"/>
      <c r="H36" s="10"/>
    </row>
    <row r="37" customFormat="false" ht="35.05" hidden="false" customHeight="false" outlineLevel="0" collapsed="false">
      <c r="A37" s="9"/>
      <c r="B37" s="9" t="s">
        <v>224</v>
      </c>
      <c r="C37" s="9" t="s">
        <v>36</v>
      </c>
      <c r="D37" s="9" t="s">
        <v>278</v>
      </c>
      <c r="E37" s="9" t="s">
        <v>282</v>
      </c>
      <c r="F37" s="9" t="s">
        <v>308</v>
      </c>
      <c r="G37" s="10"/>
      <c r="H37" s="10"/>
    </row>
    <row r="38" customFormat="false" ht="35.05" hidden="false" customHeight="false" outlineLevel="0" collapsed="false">
      <c r="A38" s="9"/>
      <c r="B38" s="9" t="s">
        <v>234</v>
      </c>
      <c r="C38" s="9" t="s">
        <v>36</v>
      </c>
      <c r="D38" s="9" t="s">
        <v>309</v>
      </c>
      <c r="E38" s="9" t="s">
        <v>282</v>
      </c>
      <c r="F38" s="9" t="s">
        <v>310</v>
      </c>
      <c r="G38" s="10"/>
      <c r="H38" s="10"/>
    </row>
    <row r="39" customFormat="false" ht="35.05" hidden="false" customHeight="false" outlineLevel="0" collapsed="false">
      <c r="A39" s="9"/>
      <c r="B39" s="9" t="s">
        <v>311</v>
      </c>
      <c r="C39" s="9" t="s">
        <v>36</v>
      </c>
      <c r="D39" s="9" t="s">
        <v>288</v>
      </c>
      <c r="E39" s="9" t="s">
        <v>282</v>
      </c>
      <c r="F39" s="9" t="s">
        <v>312</v>
      </c>
      <c r="G39" s="10"/>
      <c r="H39" s="10"/>
    </row>
    <row r="40" customFormat="false" ht="35.05" hidden="false" customHeight="false" outlineLevel="0" collapsed="false">
      <c r="A40" s="9"/>
      <c r="B40" s="9" t="s">
        <v>80</v>
      </c>
      <c r="C40" s="9" t="s">
        <v>36</v>
      </c>
      <c r="D40" s="9" t="s">
        <v>278</v>
      </c>
      <c r="E40" s="9" t="s">
        <v>282</v>
      </c>
      <c r="F40" s="9" t="s">
        <v>313</v>
      </c>
      <c r="G40" s="10"/>
      <c r="H40" s="10"/>
    </row>
  </sheetData>
  <autoFilter ref="A2:H40"/>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46"/>
    <col collapsed="false" customWidth="true" hidden="false" outlineLevel="0" max="4" min="4" style="0" width="28"/>
    <col collapsed="false" customWidth="true" hidden="false" outlineLevel="0" max="5" min="5" style="0" width="34"/>
    <col collapsed="false" customWidth="true" hidden="false" outlineLevel="0" max="6" min="6" style="0" width="12"/>
    <col collapsed="false" customWidth="true" hidden="false" outlineLevel="0" max="8" min="7" style="0" width="28"/>
  </cols>
  <sheetData>
    <row r="1" customFormat="false" ht="30" hidden="false" customHeight="true" outlineLevel="0" collapsed="false">
      <c r="A1" s="6" t="s">
        <v>314</v>
      </c>
      <c r="B1" s="6"/>
      <c r="C1" s="6"/>
      <c r="D1" s="6"/>
      <c r="E1" s="6"/>
      <c r="F1" s="6"/>
      <c r="G1" s="6"/>
      <c r="H1" s="6"/>
    </row>
    <row r="2" customFormat="false" ht="30" hidden="false" customHeight="true" outlineLevel="0" collapsed="false">
      <c r="A2" s="7" t="s">
        <v>315</v>
      </c>
      <c r="B2" s="7" t="s">
        <v>316</v>
      </c>
      <c r="C2" s="7" t="s">
        <v>317</v>
      </c>
      <c r="D2" s="7" t="s">
        <v>318</v>
      </c>
      <c r="E2" s="7" t="s">
        <v>319</v>
      </c>
      <c r="F2" s="7" t="s">
        <v>320</v>
      </c>
      <c r="G2" s="7" t="s">
        <v>321</v>
      </c>
      <c r="H2" s="7" t="s">
        <v>33</v>
      </c>
    </row>
    <row r="3" customFormat="false" ht="15" hidden="false" customHeight="false" outlineLevel="0" collapsed="false">
      <c r="A3" s="8" t="s">
        <v>34</v>
      </c>
      <c r="B3" s="8" t="s">
        <v>322</v>
      </c>
      <c r="C3" s="8" t="s">
        <v>323</v>
      </c>
      <c r="D3" s="8" t="s">
        <v>324</v>
      </c>
      <c r="E3" s="8" t="s">
        <v>325</v>
      </c>
      <c r="F3" s="8" t="s">
        <v>326</v>
      </c>
      <c r="G3" s="8" t="s">
        <v>327</v>
      </c>
      <c r="H3" s="8"/>
    </row>
    <row r="4" customFormat="false" ht="46.25" hidden="false" customHeight="false" outlineLevel="0" collapsed="false">
      <c r="A4" s="9" t="s">
        <v>328</v>
      </c>
      <c r="B4" s="9" t="s">
        <v>329</v>
      </c>
      <c r="C4" s="9" t="s">
        <v>330</v>
      </c>
      <c r="D4" s="9" t="s">
        <v>331</v>
      </c>
      <c r="E4" s="9" t="s">
        <v>332</v>
      </c>
      <c r="F4" s="10"/>
      <c r="G4" s="10"/>
      <c r="H4" s="10"/>
    </row>
    <row r="5" customFormat="false" ht="46.25" hidden="false" customHeight="false" outlineLevel="0" collapsed="false">
      <c r="A5" s="9" t="s">
        <v>333</v>
      </c>
      <c r="B5" s="9" t="s">
        <v>334</v>
      </c>
      <c r="C5" s="9" t="s">
        <v>335</v>
      </c>
      <c r="D5" s="9" t="s">
        <v>336</v>
      </c>
      <c r="E5" s="9" t="s">
        <v>337</v>
      </c>
      <c r="F5" s="10"/>
      <c r="G5" s="10"/>
      <c r="H5" s="10"/>
    </row>
    <row r="6" customFormat="false" ht="23.85" hidden="false" customHeight="false" outlineLevel="0" collapsed="false">
      <c r="A6" s="9" t="s">
        <v>338</v>
      </c>
      <c r="B6" s="9" t="s">
        <v>339</v>
      </c>
      <c r="C6" s="9" t="s">
        <v>340</v>
      </c>
      <c r="D6" s="9" t="s">
        <v>341</v>
      </c>
      <c r="E6" s="9" t="s">
        <v>342</v>
      </c>
      <c r="F6" s="10"/>
      <c r="G6" s="10"/>
      <c r="H6" s="10"/>
    </row>
    <row r="7" customFormat="false" ht="23.85" hidden="false" customHeight="false" outlineLevel="0" collapsed="false">
      <c r="A7" s="9" t="s">
        <v>343</v>
      </c>
      <c r="B7" s="9" t="s">
        <v>344</v>
      </c>
      <c r="C7" s="9" t="s">
        <v>345</v>
      </c>
      <c r="D7" s="9" t="s">
        <v>346</v>
      </c>
      <c r="E7" s="9" t="s">
        <v>347</v>
      </c>
      <c r="F7" s="10"/>
      <c r="G7" s="10"/>
      <c r="H7" s="10"/>
    </row>
    <row r="8" customFormat="false" ht="35.05" hidden="false" customHeight="false" outlineLevel="0" collapsed="false">
      <c r="A8" s="9" t="s">
        <v>348</v>
      </c>
      <c r="B8" s="9" t="s">
        <v>349</v>
      </c>
      <c r="C8" s="9" t="s">
        <v>350</v>
      </c>
      <c r="D8" s="9" t="s">
        <v>351</v>
      </c>
      <c r="E8" s="9" t="s">
        <v>352</v>
      </c>
      <c r="F8" s="10"/>
      <c r="G8" s="10"/>
      <c r="H8" s="10"/>
    </row>
    <row r="9" customFormat="false" ht="46.25" hidden="false" customHeight="false" outlineLevel="0" collapsed="false">
      <c r="A9" s="9" t="s">
        <v>353</v>
      </c>
      <c r="B9" s="9" t="s">
        <v>354</v>
      </c>
      <c r="C9" s="9" t="s">
        <v>355</v>
      </c>
      <c r="D9" s="9" t="s">
        <v>356</v>
      </c>
      <c r="E9" s="9" t="s">
        <v>357</v>
      </c>
      <c r="F9" s="10"/>
      <c r="G9" s="10"/>
      <c r="H9" s="10"/>
    </row>
    <row r="10" customFormat="false" ht="35.05" hidden="false" customHeight="false" outlineLevel="0" collapsed="false">
      <c r="A10" s="9" t="s">
        <v>358</v>
      </c>
      <c r="B10" s="9" t="s">
        <v>359</v>
      </c>
      <c r="C10" s="9" t="s">
        <v>360</v>
      </c>
      <c r="D10" s="9" t="s">
        <v>361</v>
      </c>
      <c r="E10" s="9" t="s">
        <v>362</v>
      </c>
      <c r="F10" s="10"/>
      <c r="G10" s="10"/>
      <c r="H10" s="10"/>
    </row>
    <row r="11" customFormat="false" ht="23.85" hidden="false" customHeight="false" outlineLevel="0" collapsed="false">
      <c r="A11" s="9" t="s">
        <v>363</v>
      </c>
      <c r="B11" s="9" t="s">
        <v>364</v>
      </c>
      <c r="C11" s="9" t="s">
        <v>365</v>
      </c>
      <c r="D11" s="9" t="s">
        <v>366</v>
      </c>
      <c r="E11" s="9" t="s">
        <v>362</v>
      </c>
      <c r="F11" s="10"/>
      <c r="G11" s="10"/>
      <c r="H11" s="10"/>
    </row>
  </sheetData>
  <autoFilter ref="A2:H11"/>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2026-08-23T16:13:14Z</dcterms:created>
  <dc:creator>openpyxl</dc:creator>
  <dc:description/>
  <dc:language>en-US</dc:language>
  <cp:lastModifiedBy/>
  <dcterms:modified xsi:type="dcterms:W3CDTF">2026-08-23T16:13:15Z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